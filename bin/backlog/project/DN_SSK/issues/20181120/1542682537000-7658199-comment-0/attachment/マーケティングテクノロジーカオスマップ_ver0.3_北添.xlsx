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JOB\PSC\Win作業データ(14年3月～5月）\1次作業対応（即廃棄）\"/>
    </mc:Choice>
  </mc:AlternateContent>
  <bookViews>
    <workbookView xWindow="0" yWindow="0" windowWidth="20490" windowHeight="7770"/>
  </bookViews>
  <sheets>
    <sheet name="Sheet1" sheetId="1" r:id="rId1"/>
  </sheets>
  <definedNames>
    <definedName name="_xlnm._FilterDatabase" localSheetId="0" hidden="1">Sheet1!$A$1:$O$68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68" i="1" l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E19" i="1"/>
  <c r="L3" i="1" l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2" i="1"/>
</calcChain>
</file>

<file path=xl/comments1.xml><?xml version="1.0" encoding="utf-8"?>
<comments xmlns="http://schemas.openxmlformats.org/spreadsheetml/2006/main">
  <authors>
    <author>PSC北添</author>
  </authors>
  <commentList>
    <comment ref="E1" authorId="0" shapeId="0">
      <text>
        <r>
          <rPr>
            <b/>
            <sz val="9"/>
            <color indexed="81"/>
            <rFont val="MS P ゴシック"/>
            <family val="3"/>
            <charset val="128"/>
          </rPr>
          <t>PSC北添:</t>
        </r>
        <r>
          <rPr>
            <sz val="9"/>
            <color indexed="81"/>
            <rFont val="MS P ゴシック"/>
            <family val="3"/>
            <charset val="128"/>
          </rPr>
          <t xml:space="preserve">
多ければ市場が大きく興味も高い</t>
        </r>
      </text>
    </comment>
  </commentList>
</comments>
</file>

<file path=xl/sharedStrings.xml><?xml version="1.0" encoding="utf-8"?>
<sst xmlns="http://schemas.openxmlformats.org/spreadsheetml/2006/main" count="245" uniqueCount="112">
  <si>
    <t>広告</t>
    <rPh sb="0" eb="2">
      <t>コウコク</t>
    </rPh>
    <phoneticPr fontId="1"/>
  </si>
  <si>
    <t>ソーシャル/ 外部メディア</t>
    <phoneticPr fontId="1"/>
  </si>
  <si>
    <t>メール</t>
    <phoneticPr fontId="1"/>
  </si>
  <si>
    <t>オフライン</t>
    <phoneticPr fontId="1"/>
  </si>
  <si>
    <t>セールス</t>
    <phoneticPr fontId="1"/>
  </si>
  <si>
    <t>EC</t>
    <phoneticPr fontId="1"/>
  </si>
  <si>
    <t>データマネジメント</t>
    <phoneticPr fontId="1"/>
  </si>
  <si>
    <t>SNS広告</t>
    <rPh sb="3" eb="5">
      <t>コウコク</t>
    </rPh>
    <phoneticPr fontId="1"/>
  </si>
  <si>
    <t>3rdParty DMP</t>
    <phoneticPr fontId="1"/>
  </si>
  <si>
    <t>検索</t>
    <rPh sb="0" eb="2">
      <t>ケンサク</t>
    </rPh>
    <phoneticPr fontId="1"/>
  </si>
  <si>
    <t>第三者配信</t>
    <rPh sb="0" eb="1">
      <t>ダイ</t>
    </rPh>
    <rPh sb="1" eb="3">
      <t>サンシャ</t>
    </rPh>
    <rPh sb="3" eb="5">
      <t>ハイシン</t>
    </rPh>
    <phoneticPr fontId="1"/>
  </si>
  <si>
    <t>広告最適化</t>
    <rPh sb="0" eb="2">
      <t>コウコク</t>
    </rPh>
    <rPh sb="2" eb="5">
      <t>サイテキカ</t>
    </rPh>
    <phoneticPr fontId="1"/>
  </si>
  <si>
    <t>SNS管理</t>
    <rPh sb="3" eb="5">
      <t>カンリ</t>
    </rPh>
    <phoneticPr fontId="1"/>
  </si>
  <si>
    <t>動画広告</t>
    <rPh sb="0" eb="2">
      <t>ドウガ</t>
    </rPh>
    <rPh sb="2" eb="4">
      <t>コウコク</t>
    </rPh>
    <phoneticPr fontId="1"/>
  </si>
  <si>
    <t>ブックマーク/シェア</t>
    <phoneticPr fontId="1"/>
  </si>
  <si>
    <t>Eメール</t>
    <phoneticPr fontId="1"/>
  </si>
  <si>
    <t>イベント予約</t>
    <rPh sb="4" eb="6">
      <t>ヨヤク</t>
    </rPh>
    <phoneticPr fontId="1"/>
  </si>
  <si>
    <t>店舗情報分析</t>
    <rPh sb="0" eb="2">
      <t>テンポ</t>
    </rPh>
    <rPh sb="2" eb="4">
      <t>ジョウホウ</t>
    </rPh>
    <rPh sb="4" eb="6">
      <t>ブンセキ</t>
    </rPh>
    <phoneticPr fontId="1"/>
  </si>
  <si>
    <t>コールセンター/音声通話</t>
    <rPh sb="8" eb="10">
      <t>オンセイ</t>
    </rPh>
    <rPh sb="10" eb="12">
      <t>ツウワ</t>
    </rPh>
    <phoneticPr fontId="1"/>
  </si>
  <si>
    <t>位置情報</t>
    <rPh sb="0" eb="2">
      <t>イチ</t>
    </rPh>
    <rPh sb="2" eb="4">
      <t>ジョウホウ</t>
    </rPh>
    <phoneticPr fontId="1"/>
  </si>
  <si>
    <t>SFA</t>
    <phoneticPr fontId="1"/>
  </si>
  <si>
    <t>決済</t>
    <rPh sb="0" eb="2">
      <t>ケッサイ</t>
    </rPh>
    <phoneticPr fontId="1"/>
  </si>
  <si>
    <t>在庫管理</t>
    <rPh sb="0" eb="2">
      <t>ザイコ</t>
    </rPh>
    <rPh sb="2" eb="4">
      <t>カンリ</t>
    </rPh>
    <phoneticPr fontId="1"/>
  </si>
  <si>
    <t>DAM</t>
    <phoneticPr fontId="1"/>
  </si>
  <si>
    <t>アプリ分析/開発</t>
    <rPh sb="3" eb="5">
      <t>ブンセキ</t>
    </rPh>
    <rPh sb="6" eb="8">
      <t>カイハツ</t>
    </rPh>
    <phoneticPr fontId="1"/>
  </si>
  <si>
    <t>データフィード</t>
    <phoneticPr fontId="1"/>
  </si>
  <si>
    <t>Web接客/顧客サポート/チャット</t>
    <rPh sb="3" eb="5">
      <t>セッキャク</t>
    </rPh>
    <rPh sb="6" eb="8">
      <t>コキャク</t>
    </rPh>
    <phoneticPr fontId="1"/>
  </si>
  <si>
    <t>検索エンジン</t>
    <rPh sb="0" eb="2">
      <t>ケンサク</t>
    </rPh>
    <phoneticPr fontId="1"/>
  </si>
  <si>
    <t>サイト内検索</t>
    <rPh sb="3" eb="4">
      <t>ナイ</t>
    </rPh>
    <rPh sb="4" eb="6">
      <t>ケンサク</t>
    </rPh>
    <phoneticPr fontId="1"/>
  </si>
  <si>
    <t>企業データ</t>
    <rPh sb="0" eb="2">
      <t>キギョウ</t>
    </rPh>
    <phoneticPr fontId="1"/>
  </si>
  <si>
    <t>データ連携</t>
    <rPh sb="3" eb="5">
      <t>レンケイ</t>
    </rPh>
    <phoneticPr fontId="1"/>
  </si>
  <si>
    <t>市場調査/競合調査</t>
    <rPh sb="0" eb="2">
      <t>シジョウ</t>
    </rPh>
    <rPh sb="2" eb="4">
      <t>チョウサ</t>
    </rPh>
    <rPh sb="5" eb="7">
      <t>キョウゴウ</t>
    </rPh>
    <rPh sb="7" eb="9">
      <t>チョウサ</t>
    </rPh>
    <phoneticPr fontId="1"/>
  </si>
  <si>
    <t>広告効果測定</t>
    <rPh sb="0" eb="2">
      <t>コウコク</t>
    </rPh>
    <rPh sb="2" eb="4">
      <t>コウカ</t>
    </rPh>
    <rPh sb="4" eb="6">
      <t>ソクテイ</t>
    </rPh>
    <phoneticPr fontId="1"/>
  </si>
  <si>
    <t>統計解析</t>
    <rPh sb="0" eb="2">
      <t>トウケイ</t>
    </rPh>
    <rPh sb="2" eb="4">
      <t>カイセキ</t>
    </rPh>
    <phoneticPr fontId="1"/>
  </si>
  <si>
    <t>ソーシャルリスニング/分析</t>
    <rPh sb="11" eb="13">
      <t>ブンセキ</t>
    </rPh>
    <phoneticPr fontId="1"/>
  </si>
  <si>
    <t>SSL証明書</t>
    <rPh sb="3" eb="6">
      <t>ショウメイショ</t>
    </rPh>
    <phoneticPr fontId="1"/>
  </si>
  <si>
    <t>言語</t>
    <rPh sb="0" eb="2">
      <t>ゲンゴ</t>
    </rPh>
    <phoneticPr fontId="1"/>
  </si>
  <si>
    <t>ネットワーク/
インフラ/アプリ</t>
    <phoneticPr fontId="1"/>
  </si>
  <si>
    <t>動画配信
プラットフォーム</t>
    <rPh sb="0" eb="2">
      <t>ドウガ</t>
    </rPh>
    <rPh sb="2" eb="4">
      <t>ハイシン</t>
    </rPh>
    <phoneticPr fontId="1"/>
  </si>
  <si>
    <t>分野</t>
    <rPh sb="0" eb="2">
      <t>ブンヤ</t>
    </rPh>
    <phoneticPr fontId="1"/>
  </si>
  <si>
    <t>カテゴリ</t>
    <phoneticPr fontId="1"/>
  </si>
  <si>
    <t>アクセスログ/
行動分析</t>
    <rPh sb="8" eb="10">
      <t>コウドウ</t>
    </rPh>
    <rPh sb="10" eb="12">
      <t>ブンセキ</t>
    </rPh>
    <phoneticPr fontId="1"/>
  </si>
  <si>
    <t>-</t>
    <phoneticPr fontId="1"/>
  </si>
  <si>
    <t>フェイズ</t>
    <phoneticPr fontId="1"/>
  </si>
  <si>
    <t>寡占度</t>
    <rPh sb="0" eb="3">
      <t>カセンド</t>
    </rPh>
    <phoneticPr fontId="1"/>
  </si>
  <si>
    <t>No.</t>
    <phoneticPr fontId="1"/>
  </si>
  <si>
    <t>コンテンツ管理</t>
    <phoneticPr fontId="1"/>
  </si>
  <si>
    <t>最適化/自動化</t>
    <phoneticPr fontId="1"/>
  </si>
  <si>
    <t>データ分析</t>
    <phoneticPr fontId="1"/>
  </si>
  <si>
    <t>ブラウザ/スマホ/OS/アプリケーション</t>
    <phoneticPr fontId="1"/>
  </si>
  <si>
    <t>成長</t>
  </si>
  <si>
    <t>高</t>
  </si>
  <si>
    <t>低</t>
  </si>
  <si>
    <t>安定</t>
  </si>
  <si>
    <t>アドベリフィケーション</t>
    <phoneticPr fontId="1"/>
  </si>
  <si>
    <t>衰退</t>
  </si>
  <si>
    <t>2017
ツール数</t>
    <rPh sb="8" eb="9">
      <t>スウ</t>
    </rPh>
    <phoneticPr fontId="1"/>
  </si>
  <si>
    <t>2018
ツール数</t>
    <rPh sb="8" eb="9">
      <t>スウ</t>
    </rPh>
    <phoneticPr fontId="1"/>
  </si>
  <si>
    <t>-</t>
    <phoneticPr fontId="1"/>
  </si>
  <si>
    <t>名刺管理</t>
    <rPh sb="0" eb="2">
      <t>メイシ</t>
    </rPh>
    <rPh sb="2" eb="4">
      <t>カンリ</t>
    </rPh>
    <phoneticPr fontId="1"/>
  </si>
  <si>
    <t>成長率</t>
    <rPh sb="0" eb="3">
      <t>セイチョウリツ</t>
    </rPh>
    <phoneticPr fontId="1"/>
  </si>
  <si>
    <t>検索hit数
（Google）</t>
    <rPh sb="0" eb="2">
      <t>ケンサク</t>
    </rPh>
    <rPh sb="5" eb="6">
      <t>スウ</t>
    </rPh>
    <phoneticPr fontId="1"/>
  </si>
  <si>
    <t>DSP</t>
    <phoneticPr fontId="1"/>
  </si>
  <si>
    <t>-</t>
    <phoneticPr fontId="1"/>
  </si>
  <si>
    <t>アフィリエイト</t>
    <phoneticPr fontId="1"/>
  </si>
  <si>
    <t>インフィード</t>
    <phoneticPr fontId="1"/>
  </si>
  <si>
    <t>インフルエンサー</t>
    <phoneticPr fontId="1"/>
  </si>
  <si>
    <t>POS</t>
    <phoneticPr fontId="1"/>
  </si>
  <si>
    <t>パーソナライズドDM</t>
    <phoneticPr fontId="1"/>
  </si>
  <si>
    <t>カートASP</t>
    <phoneticPr fontId="1"/>
  </si>
  <si>
    <t>Eコマースパッケージ</t>
    <phoneticPr fontId="1"/>
  </si>
  <si>
    <t>プロトタイピング</t>
    <phoneticPr fontId="1"/>
  </si>
  <si>
    <t>DQM</t>
    <phoneticPr fontId="1"/>
  </si>
  <si>
    <t>レコメンド</t>
    <phoneticPr fontId="1"/>
  </si>
  <si>
    <t>SEO</t>
    <phoneticPr fontId="1"/>
  </si>
  <si>
    <t>ABテスト</t>
    <phoneticPr fontId="1"/>
  </si>
  <si>
    <t>CRM</t>
    <phoneticPr fontId="1"/>
  </si>
  <si>
    <t>プライバシー
マネジメント</t>
    <phoneticPr fontId="1"/>
  </si>
  <si>
    <t>ソーシャルログイン</t>
    <phoneticPr fontId="1"/>
  </si>
  <si>
    <t>アンケート/NPS</t>
    <phoneticPr fontId="1"/>
  </si>
  <si>
    <t>タグマネージャー</t>
    <phoneticPr fontId="1"/>
  </si>
  <si>
    <t>ヒートマップ</t>
    <phoneticPr fontId="1"/>
  </si>
  <si>
    <t>ユーザーテスト</t>
    <phoneticPr fontId="1"/>
  </si>
  <si>
    <t>CDN</t>
    <phoneticPr fontId="1"/>
  </si>
  <si>
    <t>Webサーバー</t>
    <phoneticPr fontId="1"/>
  </si>
  <si>
    <t>スマートスピーカー/スマートデバイス</t>
    <phoneticPr fontId="1"/>
  </si>
  <si>
    <t>WAF</t>
    <phoneticPr fontId="1"/>
  </si>
  <si>
    <t>スイーツ</t>
    <phoneticPr fontId="1"/>
  </si>
  <si>
    <t>検索hit数
（Google）
C列文字列
そのまま</t>
    <rPh sb="0" eb="2">
      <t>ケンサク</t>
    </rPh>
    <rPh sb="5" eb="6">
      <t>スウ</t>
    </rPh>
    <rPh sb="17" eb="18">
      <t>レツ</t>
    </rPh>
    <rPh sb="18" eb="21">
      <t>モジレツ</t>
    </rPh>
    <phoneticPr fontId="1"/>
  </si>
  <si>
    <t>SNS</t>
    <phoneticPr fontId="1"/>
  </si>
  <si>
    <t>CMS</t>
    <phoneticPr fontId="1"/>
  </si>
  <si>
    <t>MA/キャンペーンマネジメント</t>
    <phoneticPr fontId="1"/>
  </si>
  <si>
    <t>プライベートDMP/CDP/DWH/
データプラットフォーム</t>
    <phoneticPr fontId="1"/>
  </si>
  <si>
    <t>BI/ビジュアライゼーション</t>
    <phoneticPr fontId="1"/>
  </si>
  <si>
    <t>AI</t>
    <phoneticPr fontId="1"/>
  </si>
  <si>
    <t>IaaS/PaaS</t>
    <phoneticPr fontId="1"/>
  </si>
  <si>
    <t>左から1番目
語句</t>
    <rPh sb="0" eb="1">
      <t>ヒダリ</t>
    </rPh>
    <rPh sb="4" eb="6">
      <t>バンメ</t>
    </rPh>
    <rPh sb="7" eb="9">
      <t>ゴク</t>
    </rPh>
    <phoneticPr fontId="1"/>
  </si>
  <si>
    <t>左から２番目
語句</t>
    <rPh sb="0" eb="1">
      <t>ヒダリ</t>
    </rPh>
    <rPh sb="4" eb="6">
      <t>バンメ</t>
    </rPh>
    <rPh sb="7" eb="9">
      <t>ゴク</t>
    </rPh>
    <phoneticPr fontId="1"/>
  </si>
  <si>
    <t>左から3番目
語句</t>
    <phoneticPr fontId="1"/>
  </si>
  <si>
    <t>左から4番目
語句</t>
    <phoneticPr fontId="1"/>
  </si>
  <si>
    <t>？？？</t>
    <phoneticPr fontId="1"/>
  </si>
  <si>
    <t>成長市場だけど興味がない</t>
    <rPh sb="0" eb="2">
      <t>セイチョウ</t>
    </rPh>
    <rPh sb="2" eb="4">
      <t>シジョウ</t>
    </rPh>
    <rPh sb="7" eb="9">
      <t>キョウミ</t>
    </rPh>
    <phoneticPr fontId="1"/>
  </si>
  <si>
    <t>広告これからきそう</t>
    <rPh sb="0" eb="2">
      <t>コウコク</t>
    </rPh>
    <phoneticPr fontId="1"/>
  </si>
  <si>
    <t>PUSH配信の成長見込みあり</t>
    <rPh sb="4" eb="6">
      <t>ハイシン</t>
    </rPh>
    <rPh sb="7" eb="9">
      <t>セイチョウ</t>
    </rPh>
    <rPh sb="9" eb="11">
      <t>ミコ</t>
    </rPh>
    <phoneticPr fontId="1"/>
  </si>
  <si>
    <t>電子決済対応で成長するが大手に淘汰される？</t>
    <rPh sb="0" eb="2">
      <t>デンシ</t>
    </rPh>
    <rPh sb="2" eb="4">
      <t>ケッサイ</t>
    </rPh>
    <rPh sb="4" eb="6">
      <t>タイオウ</t>
    </rPh>
    <rPh sb="7" eb="9">
      <t>セイチョウ</t>
    </rPh>
    <rPh sb="12" eb="14">
      <t>オオテ</t>
    </rPh>
    <rPh sb="15" eb="17">
      <t>トウタ</t>
    </rPh>
    <phoneticPr fontId="1"/>
  </si>
  <si>
    <t>EC成長と共に成長する</t>
    <rPh sb="2" eb="4">
      <t>セイチョウ</t>
    </rPh>
    <rPh sb="5" eb="6">
      <t>トモ</t>
    </rPh>
    <rPh sb="7" eb="9">
      <t>セイチョウ</t>
    </rPh>
    <phoneticPr fontId="1"/>
  </si>
  <si>
    <t>？？？</t>
    <phoneticPr fontId="1"/>
  </si>
  <si>
    <t>EC成長と共に成長する</t>
    <phoneticPr fontId="1"/>
  </si>
  <si>
    <t>？？？</t>
    <phoneticPr fontId="1"/>
  </si>
  <si>
    <t>？？？</t>
    <phoneticPr fontId="1"/>
  </si>
  <si>
    <t>？？？</t>
    <phoneticPr fontId="1"/>
  </si>
  <si>
    <t>EC行動データ分析で成長する</t>
    <rPh sb="2" eb="4">
      <t>コウドウ</t>
    </rPh>
    <rPh sb="7" eb="9">
      <t>ブンセキ</t>
    </rPh>
    <rPh sb="10" eb="12">
      <t>セイチョウ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</si>
</sst>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%"/>
  </numFmts>
  <fonts count="7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b/>
      <sz val="11"/>
      <color theme="1"/>
      <name val="ＭＳ Ｐゴシック"/>
      <family val="3"/>
      <charset val="128"/>
      <scheme val="minor"/>
    </font>
    <font>
      <b/>
      <sz val="8"/>
      <color theme="1"/>
      <name val="ＭＳ Ｐゴシック"/>
      <family val="3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9"/>
      <color indexed="81"/>
      <name val="MS P ゴシック"/>
      <family val="3"/>
      <charset val="128"/>
    </font>
    <font>
      <b/>
      <sz val="9"/>
      <color indexed="81"/>
      <name val="MS P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4" fillId="0" borderId="0" applyFont="0" applyFill="0" applyBorder="0" applyAlignment="0" applyProtection="0">
      <alignment vertical="center"/>
    </xf>
  </cellStyleXfs>
  <cellXfs count="114">
    <xf numFmtId="0" fontId="0" fillId="0" borderId="0" xfId="0">
      <alignment vertical="center"/>
    </xf>
    <xf numFmtId="0" fontId="0" fillId="0" borderId="0" xfId="0" applyBorder="1">
      <alignment vertical="center"/>
    </xf>
    <xf numFmtId="0" fontId="2" fillId="3" borderId="10" xfId="0" applyFont="1" applyFill="1" applyBorder="1" applyAlignment="1">
      <alignment horizontal="center" vertical="center"/>
    </xf>
    <xf numFmtId="0" fontId="2" fillId="2" borderId="10" xfId="0" applyFont="1" applyFill="1" applyBorder="1">
      <alignment vertical="center"/>
    </xf>
    <xf numFmtId="0" fontId="2" fillId="2" borderId="11" xfId="0" applyFont="1" applyFill="1" applyBorder="1">
      <alignment vertical="center"/>
    </xf>
    <xf numFmtId="0" fontId="0" fillId="0" borderId="1" xfId="0" applyFill="1" applyBorder="1">
      <alignment vertical="center"/>
    </xf>
    <xf numFmtId="0" fontId="2" fillId="2" borderId="17" xfId="0" applyFont="1" applyFill="1" applyBorder="1">
      <alignment vertical="center"/>
    </xf>
    <xf numFmtId="0" fontId="2" fillId="2" borderId="15" xfId="0" applyFont="1" applyFill="1" applyBorder="1">
      <alignment vertical="center"/>
    </xf>
    <xf numFmtId="0" fontId="3" fillId="2" borderId="16" xfId="0" applyFont="1" applyFill="1" applyBorder="1" applyAlignment="1">
      <alignment vertical="center" wrapText="1"/>
    </xf>
    <xf numFmtId="0" fontId="0" fillId="0" borderId="6" xfId="0" applyFill="1" applyBorder="1" applyAlignment="1">
      <alignment horizontal="center" vertical="center"/>
    </xf>
    <xf numFmtId="0" fontId="0" fillId="0" borderId="9" xfId="0" applyFill="1" applyBorder="1" applyAlignment="1">
      <alignment horizontal="center" vertical="center"/>
    </xf>
    <xf numFmtId="0" fontId="0" fillId="0" borderId="22" xfId="0" applyFill="1" applyBorder="1" applyAlignment="1">
      <alignment horizontal="center" vertical="center"/>
    </xf>
    <xf numFmtId="0" fontId="0" fillId="0" borderId="23" xfId="0" applyFill="1" applyBorder="1" applyAlignment="1">
      <alignment horizontal="center" vertical="center"/>
    </xf>
    <xf numFmtId="0" fontId="0" fillId="4" borderId="20" xfId="0" applyFill="1" applyBorder="1">
      <alignment vertical="center"/>
    </xf>
    <xf numFmtId="0" fontId="0" fillId="4" borderId="6" xfId="0" applyFill="1" applyBorder="1" applyAlignment="1">
      <alignment horizontal="center" vertical="center"/>
    </xf>
    <xf numFmtId="0" fontId="0" fillId="4" borderId="20" xfId="0" applyFill="1" applyBorder="1" applyAlignment="1">
      <alignment vertical="center" wrapText="1"/>
    </xf>
    <xf numFmtId="0" fontId="0" fillId="0" borderId="4" xfId="0" applyFill="1" applyBorder="1">
      <alignment vertical="center"/>
    </xf>
    <xf numFmtId="0" fontId="0" fillId="0" borderId="19" xfId="0" applyFill="1" applyBorder="1">
      <alignment vertical="center"/>
    </xf>
    <xf numFmtId="0" fontId="0" fillId="0" borderId="20" xfId="0" applyFill="1" applyBorder="1">
      <alignment vertical="center"/>
    </xf>
    <xf numFmtId="0" fontId="0" fillId="0" borderId="8" xfId="0" applyFill="1" applyBorder="1">
      <alignment vertical="center"/>
    </xf>
    <xf numFmtId="0" fontId="0" fillId="0" borderId="21" xfId="0" applyFill="1" applyBorder="1">
      <alignment vertical="center"/>
    </xf>
    <xf numFmtId="0" fontId="0" fillId="0" borderId="11" xfId="0" applyFill="1" applyBorder="1">
      <alignment vertical="center"/>
    </xf>
    <xf numFmtId="0" fontId="0" fillId="0" borderId="16" xfId="0" applyFill="1" applyBorder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20" xfId="0" applyFill="1" applyBorder="1" applyAlignment="1">
      <alignment vertical="center" wrapText="1"/>
    </xf>
    <xf numFmtId="0" fontId="0" fillId="0" borderId="8" xfId="0" applyFill="1" applyBorder="1" applyAlignment="1">
      <alignment vertical="center" wrapText="1"/>
    </xf>
    <xf numFmtId="0" fontId="0" fillId="4" borderId="19" xfId="0" applyFill="1" applyBorder="1">
      <alignment vertical="center"/>
    </xf>
    <xf numFmtId="0" fontId="0" fillId="4" borderId="22" xfId="0" applyFill="1" applyBorder="1" applyAlignment="1">
      <alignment horizontal="center" vertical="center"/>
    </xf>
    <xf numFmtId="0" fontId="0" fillId="0" borderId="21" xfId="0" applyFill="1" applyBorder="1" applyAlignment="1">
      <alignment vertical="center" wrapText="1"/>
    </xf>
    <xf numFmtId="0" fontId="2" fillId="2" borderId="16" xfId="0" applyFont="1" applyFill="1" applyBorder="1" applyAlignment="1">
      <alignment vertical="center" wrapText="1"/>
    </xf>
    <xf numFmtId="3" fontId="0" fillId="4" borderId="19" xfId="0" applyNumberFormat="1" applyFill="1" applyBorder="1">
      <alignment vertical="center"/>
    </xf>
    <xf numFmtId="3" fontId="0" fillId="0" borderId="20" xfId="0" applyNumberFormat="1" applyFill="1" applyBorder="1">
      <alignment vertical="center"/>
    </xf>
    <xf numFmtId="0" fontId="0" fillId="4" borderId="24" xfId="0" applyFill="1" applyBorder="1" applyAlignment="1">
      <alignment horizontal="center" vertical="center"/>
    </xf>
    <xf numFmtId="0" fontId="0" fillId="0" borderId="25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0" borderId="26" xfId="0" applyFill="1" applyBorder="1" applyAlignment="1">
      <alignment horizontal="center" vertical="center"/>
    </xf>
    <xf numFmtId="0" fontId="0" fillId="0" borderId="24" xfId="0" applyFill="1" applyBorder="1" applyAlignment="1">
      <alignment horizontal="center" vertical="center"/>
    </xf>
    <xf numFmtId="0" fontId="0" fillId="0" borderId="27" xfId="0" applyFill="1" applyBorder="1" applyAlignment="1">
      <alignment horizontal="center" vertical="center"/>
    </xf>
    <xf numFmtId="0" fontId="3" fillId="2" borderId="28" xfId="0" applyFont="1" applyFill="1" applyBorder="1" applyAlignment="1">
      <alignment vertical="center" wrapText="1"/>
    </xf>
    <xf numFmtId="176" fontId="0" fillId="4" borderId="1" xfId="1" applyNumberFormat="1" applyFont="1" applyFill="1" applyBorder="1">
      <alignment vertical="center"/>
    </xf>
    <xf numFmtId="176" fontId="0" fillId="0" borderId="1" xfId="1" applyNumberFormat="1" applyFont="1" applyFill="1" applyBorder="1">
      <alignment vertical="center"/>
    </xf>
    <xf numFmtId="176" fontId="0" fillId="0" borderId="2" xfId="1" applyNumberFormat="1" applyFont="1" applyFill="1" applyBorder="1">
      <alignment vertical="center"/>
    </xf>
    <xf numFmtId="176" fontId="0" fillId="0" borderId="8" xfId="1" applyNumberFormat="1" applyFont="1" applyFill="1" applyBorder="1">
      <alignment vertical="center"/>
    </xf>
    <xf numFmtId="176" fontId="0" fillId="4" borderId="2" xfId="1" applyNumberFormat="1" applyFont="1" applyFill="1" applyBorder="1">
      <alignment vertical="center"/>
    </xf>
    <xf numFmtId="3" fontId="0" fillId="4" borderId="20" xfId="0" applyNumberFormat="1" applyFill="1" applyBorder="1">
      <alignment vertical="center"/>
    </xf>
    <xf numFmtId="3" fontId="0" fillId="0" borderId="21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3" fontId="0" fillId="4" borderId="20" xfId="0" applyNumberFormat="1" applyFill="1" applyBorder="1" applyAlignment="1">
      <alignment vertical="center" wrapText="1"/>
    </xf>
    <xf numFmtId="3" fontId="0" fillId="0" borderId="20" xfId="0" applyNumberFormat="1" applyFill="1" applyBorder="1" applyAlignment="1">
      <alignment vertical="center" wrapText="1"/>
    </xf>
    <xf numFmtId="3" fontId="0" fillId="0" borderId="21" xfId="0" applyNumberFormat="1" applyFill="1" applyBorder="1" applyAlignment="1">
      <alignment vertical="center" wrapText="1"/>
    </xf>
    <xf numFmtId="0" fontId="0" fillId="0" borderId="2" xfId="0" applyFill="1" applyBorder="1">
      <alignment vertical="center"/>
    </xf>
    <xf numFmtId="3" fontId="0" fillId="0" borderId="1" xfId="0" applyNumberFormat="1" applyFill="1" applyBorder="1" applyAlignment="1">
      <alignment vertical="center" wrapText="1"/>
    </xf>
    <xf numFmtId="3" fontId="0" fillId="0" borderId="8" xfId="0" applyNumberFormat="1" applyFill="1" applyBorder="1" applyAlignment="1">
      <alignment vertical="center" wrapText="1"/>
    </xf>
    <xf numFmtId="3" fontId="0" fillId="0" borderId="30" xfId="0" applyNumberFormat="1" applyFill="1" applyBorder="1" applyAlignment="1">
      <alignment vertical="center" wrapText="1"/>
    </xf>
    <xf numFmtId="3" fontId="0" fillId="4" borderId="30" xfId="0" applyNumberFormat="1" applyFill="1" applyBorder="1" applyAlignment="1">
      <alignment vertical="center" wrapText="1"/>
    </xf>
    <xf numFmtId="0" fontId="2" fillId="3" borderId="12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4" xfId="0" applyFont="1" applyFill="1" applyBorder="1" applyAlignment="1">
      <alignment horizontal="center" vertical="center" wrapText="1"/>
    </xf>
    <xf numFmtId="0" fontId="0" fillId="0" borderId="29" xfId="0" applyFill="1" applyBorder="1">
      <alignment vertical="center"/>
    </xf>
    <xf numFmtId="3" fontId="0" fillId="0" borderId="1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5" borderId="20" xfId="0" applyNumberFormat="1" applyFill="1" applyBorder="1">
      <alignment vertical="center"/>
    </xf>
    <xf numFmtId="0" fontId="0" fillId="5" borderId="20" xfId="0" applyFill="1" applyBorder="1">
      <alignment vertical="center"/>
    </xf>
    <xf numFmtId="176" fontId="0" fillId="5" borderId="1" xfId="1" applyNumberFormat="1" applyFont="1" applyFill="1" applyBorder="1">
      <alignment vertical="center"/>
    </xf>
    <xf numFmtId="0" fontId="0" fillId="5" borderId="25" xfId="0" applyFill="1" applyBorder="1" applyAlignment="1">
      <alignment horizontal="center" vertical="center"/>
    </xf>
    <xf numFmtId="3" fontId="0" fillId="6" borderId="8" xfId="0" applyNumberFormat="1" applyFill="1" applyBorder="1" applyAlignment="1">
      <alignment vertical="center" wrapText="1"/>
    </xf>
    <xf numFmtId="3" fontId="0" fillId="4" borderId="21" xfId="0" applyNumberFormat="1" applyFill="1" applyBorder="1">
      <alignment vertical="center"/>
    </xf>
    <xf numFmtId="3" fontId="0" fillId="4" borderId="8" xfId="0" applyNumberFormat="1" applyFill="1" applyBorder="1" applyAlignment="1">
      <alignment vertical="center" wrapText="1"/>
    </xf>
    <xf numFmtId="176" fontId="0" fillId="4" borderId="8" xfId="1" applyNumberFormat="1" applyFont="1" applyFill="1" applyBorder="1">
      <alignment vertical="center"/>
    </xf>
    <xf numFmtId="0" fontId="0" fillId="7" borderId="21" xfId="0" applyFill="1" applyBorder="1">
      <alignment vertical="center"/>
    </xf>
    <xf numFmtId="176" fontId="0" fillId="7" borderId="8" xfId="1" applyNumberFormat="1" applyFont="1" applyFill="1" applyBorder="1">
      <alignment vertical="center"/>
    </xf>
    <xf numFmtId="0" fontId="0" fillId="7" borderId="26" xfId="0" applyFill="1" applyBorder="1" applyAlignment="1">
      <alignment horizontal="center" vertical="center"/>
    </xf>
    <xf numFmtId="3" fontId="0" fillId="4" borderId="16" xfId="0" applyNumberFormat="1" applyFill="1" applyBorder="1">
      <alignment vertical="center"/>
    </xf>
    <xf numFmtId="0" fontId="0" fillId="4" borderId="16" xfId="0" applyFill="1" applyBorder="1">
      <alignment vertical="center"/>
    </xf>
    <xf numFmtId="0" fontId="0" fillId="4" borderId="27" xfId="0" applyFill="1" applyBorder="1" applyAlignment="1">
      <alignment horizontal="center" vertical="center"/>
    </xf>
    <xf numFmtId="3" fontId="0" fillId="5" borderId="19" xfId="0" applyNumberFormat="1" applyFill="1" applyBorder="1">
      <alignment vertical="center"/>
    </xf>
    <xf numFmtId="3" fontId="0" fillId="6" borderId="20" xfId="0" applyNumberFormat="1" applyFill="1" applyBorder="1">
      <alignment vertical="center"/>
    </xf>
    <xf numFmtId="3" fontId="0" fillId="6" borderId="20" xfId="0" applyNumberFormat="1" applyFill="1" applyBorder="1" applyAlignment="1">
      <alignment vertical="center" wrapText="1"/>
    </xf>
    <xf numFmtId="0" fontId="0" fillId="6" borderId="20" xfId="0" applyFill="1" applyBorder="1">
      <alignment vertical="center"/>
    </xf>
    <xf numFmtId="176" fontId="0" fillId="6" borderId="1" xfId="1" applyNumberFormat="1" applyFont="1" applyFill="1" applyBorder="1">
      <alignment vertical="center"/>
    </xf>
    <xf numFmtId="0" fontId="0" fillId="6" borderId="25" xfId="0" applyFill="1" applyBorder="1" applyAlignment="1">
      <alignment horizontal="center" vertical="center"/>
    </xf>
    <xf numFmtId="0" fontId="0" fillId="4" borderId="21" xfId="0" applyFill="1" applyBorder="1" applyAlignment="1">
      <alignment vertical="center" wrapText="1"/>
    </xf>
    <xf numFmtId="3" fontId="0" fillId="6" borderId="21" xfId="0" applyNumberFormat="1" applyFill="1" applyBorder="1" applyAlignment="1">
      <alignment vertical="center" wrapText="1"/>
    </xf>
    <xf numFmtId="3" fontId="0" fillId="6" borderId="19" xfId="0" applyNumberFormat="1" applyFill="1" applyBorder="1">
      <alignment vertical="center"/>
    </xf>
    <xf numFmtId="3" fontId="0" fillId="6" borderId="30" xfId="0" applyNumberFormat="1" applyFill="1" applyBorder="1" applyAlignment="1">
      <alignment vertical="center" wrapText="1"/>
    </xf>
    <xf numFmtId="0" fontId="0" fillId="6" borderId="19" xfId="0" applyFill="1" applyBorder="1">
      <alignment vertical="center"/>
    </xf>
    <xf numFmtId="176" fontId="0" fillId="6" borderId="2" xfId="1" applyNumberFormat="1" applyFont="1" applyFill="1" applyBorder="1">
      <alignment vertical="center"/>
    </xf>
    <xf numFmtId="0" fontId="0" fillId="6" borderId="20" xfId="0" applyFill="1" applyBorder="1" applyAlignment="1">
      <alignment vertical="center" wrapText="1"/>
    </xf>
    <xf numFmtId="0" fontId="0" fillId="7" borderId="20" xfId="0" applyFill="1" applyBorder="1">
      <alignment vertical="center"/>
    </xf>
    <xf numFmtId="176" fontId="0" fillId="7" borderId="1" xfId="1" applyNumberFormat="1" applyFont="1" applyFill="1" applyBorder="1">
      <alignment vertical="center"/>
    </xf>
    <xf numFmtId="0" fontId="0" fillId="7" borderId="25" xfId="0" applyFill="1" applyBorder="1" applyAlignment="1">
      <alignment horizontal="center" vertical="center"/>
    </xf>
    <xf numFmtId="0" fontId="0" fillId="7" borderId="19" xfId="0" applyFill="1" applyBorder="1">
      <alignment vertical="center"/>
    </xf>
    <xf numFmtId="176" fontId="0" fillId="7" borderId="2" xfId="1" applyNumberFormat="1" applyFont="1" applyFill="1" applyBorder="1">
      <alignment vertical="center"/>
    </xf>
    <xf numFmtId="0" fontId="0" fillId="7" borderId="24" xfId="0" applyFill="1" applyBorder="1" applyAlignment="1">
      <alignment horizontal="center" vertical="center"/>
    </xf>
    <xf numFmtId="176" fontId="0" fillId="7" borderId="29" xfId="1" applyNumberFormat="1" applyFont="1" applyFill="1" applyBorder="1">
      <alignment vertical="center"/>
    </xf>
    <xf numFmtId="0" fontId="0" fillId="7" borderId="20" xfId="0" applyFill="1" applyBorder="1" applyAlignment="1">
      <alignment vertical="center" wrapText="1"/>
    </xf>
    <xf numFmtId="0" fontId="0" fillId="6" borderId="24" xfId="0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23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8" borderId="1" xfId="0" applyFill="1" applyBorder="1">
      <alignment vertical="center"/>
    </xf>
    <xf numFmtId="0" fontId="0" fillId="8" borderId="4" xfId="0" applyFill="1" applyBorder="1">
      <alignment vertical="center"/>
    </xf>
    <xf numFmtId="0" fontId="0" fillId="8" borderId="11" xfId="0" applyFill="1" applyBorder="1">
      <alignment vertical="center"/>
    </xf>
    <xf numFmtId="0" fontId="0" fillId="8" borderId="8" xfId="0" applyFill="1" applyBorder="1" applyAlignment="1">
      <alignment vertical="center" wrapText="1"/>
    </xf>
  </cellXfs>
  <cellStyles count="2">
    <cellStyle name="パーセント" xfId="1" builtinId="5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95251</xdr:colOff>
      <xdr:row>6</xdr:row>
      <xdr:rowOff>42861</xdr:rowOff>
    </xdr:from>
    <xdr:to>
      <xdr:col>18</xdr:col>
      <xdr:colOff>523876</xdr:colOff>
      <xdr:row>12</xdr:row>
      <xdr:rowOff>61911</xdr:rowOff>
    </xdr:to>
    <xdr:sp macro="" textlink="">
      <xdr:nvSpPr>
        <xdr:cNvPr id="3" name="正方形/長方形 2"/>
        <xdr:cNvSpPr/>
      </xdr:nvSpPr>
      <xdr:spPr>
        <a:xfrm>
          <a:off x="8448676" y="1357311"/>
          <a:ext cx="3476625" cy="105727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フェイズ判断基準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　</a:t>
          </a:r>
          <a:r>
            <a:rPr kumimoji="1" lang="en-US" altLang="ja-JP" sz="1100" b="1">
              <a:solidFill>
                <a:srgbClr val="FF0000"/>
              </a:solidFill>
            </a:rPr>
            <a:t>2017</a:t>
          </a:r>
          <a:r>
            <a:rPr kumimoji="1" lang="ja-JP" altLang="en-US" sz="1100" b="1">
              <a:solidFill>
                <a:srgbClr val="FF0000"/>
              </a:solidFill>
            </a:rPr>
            <a:t>年版とのツール数比較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　　</a:t>
          </a:r>
          <a:r>
            <a:rPr kumimoji="1" lang="en-US" altLang="ja-JP" sz="1100" b="1">
              <a:solidFill>
                <a:srgbClr val="FF0000"/>
              </a:solidFill>
            </a:rPr>
            <a:t>2017&lt;2018</a:t>
          </a:r>
          <a:r>
            <a:rPr kumimoji="1" lang="ja-JP" altLang="en-US" sz="1100" b="1">
              <a:solidFill>
                <a:srgbClr val="FF0000"/>
              </a:solidFill>
            </a:rPr>
            <a:t>　成長率</a:t>
          </a:r>
          <a:r>
            <a:rPr kumimoji="1" lang="en-US" altLang="ja-JP" sz="1100" b="1">
              <a:solidFill>
                <a:srgbClr val="FF0000"/>
              </a:solidFill>
            </a:rPr>
            <a:t>150%</a:t>
          </a:r>
          <a:r>
            <a:rPr kumimoji="1" lang="ja-JP" altLang="en-US" sz="1100" b="1">
              <a:solidFill>
                <a:srgbClr val="FF0000"/>
              </a:solidFill>
            </a:rPr>
            <a:t>以上</a:t>
          </a:r>
          <a:r>
            <a:rPr kumimoji="1" lang="ja-JP" altLang="en-US" sz="1100" b="1" baseline="0">
              <a:solidFill>
                <a:srgbClr val="FF0000"/>
              </a:solidFill>
            </a:rPr>
            <a:t>・・・成長</a:t>
          </a:r>
          <a:endParaRPr kumimoji="1" lang="en-US" altLang="ja-JP" sz="1100" b="1" baseline="0">
            <a:solidFill>
              <a:srgbClr val="FF0000"/>
            </a:solidFill>
          </a:endParaRPr>
        </a:p>
        <a:p>
          <a:pPr algn="l"/>
          <a:r>
            <a:rPr kumimoji="1" lang="ja-JP" altLang="en-US" sz="1100" b="1" baseline="0">
              <a:solidFill>
                <a:srgbClr val="FF0000"/>
              </a:solidFill>
            </a:rPr>
            <a:t>　　</a:t>
          </a:r>
          <a:r>
            <a:rPr kumimoji="1" lang="en-US" altLang="ja-JP" sz="1100" b="1" baseline="0">
              <a:solidFill>
                <a:srgbClr val="FF0000"/>
              </a:solidFill>
            </a:rPr>
            <a:t>2017=2018</a:t>
          </a:r>
          <a:r>
            <a:rPr kumimoji="1" lang="ja-JP" altLang="en-US" sz="1100" b="1" baseline="0">
              <a:solidFill>
                <a:srgbClr val="FF0000"/>
              </a:solidFill>
            </a:rPr>
            <a:t>　成長率</a:t>
          </a:r>
          <a:r>
            <a:rPr kumimoji="1" lang="en-US" altLang="ja-JP" sz="1100" b="1" baseline="0">
              <a:solidFill>
                <a:srgbClr val="FF0000"/>
              </a:solidFill>
            </a:rPr>
            <a:t>100</a:t>
          </a:r>
          <a:r>
            <a:rPr kumimoji="1" lang="ja-JP" altLang="en-US" sz="1100" b="1" baseline="0">
              <a:solidFill>
                <a:srgbClr val="FF0000"/>
              </a:solidFill>
            </a:rPr>
            <a:t>～</a:t>
          </a:r>
          <a:r>
            <a:rPr kumimoji="1" lang="en-US" altLang="ja-JP" sz="1100" b="1" baseline="0">
              <a:solidFill>
                <a:srgbClr val="FF0000"/>
              </a:solidFill>
            </a:rPr>
            <a:t>130</a:t>
          </a:r>
          <a:r>
            <a:rPr kumimoji="1" lang="ja-JP" altLang="en-US" sz="1100" b="1" baseline="0">
              <a:solidFill>
                <a:srgbClr val="FF0000"/>
              </a:solidFill>
            </a:rPr>
            <a:t>％・・・安定</a:t>
          </a:r>
          <a:endParaRPr kumimoji="1" lang="en-US" altLang="ja-JP" sz="1100" b="1" baseline="0">
            <a:solidFill>
              <a:srgbClr val="FF0000"/>
            </a:solidFill>
          </a:endParaRPr>
        </a:p>
        <a:p>
          <a:pPr algn="l"/>
          <a:r>
            <a:rPr kumimoji="1" lang="ja-JP" altLang="en-US" sz="1100" b="1" baseline="0">
              <a:solidFill>
                <a:srgbClr val="FF0000"/>
              </a:solidFill>
            </a:rPr>
            <a:t>　　</a:t>
          </a:r>
          <a:r>
            <a:rPr kumimoji="1" lang="en-US" altLang="ja-JP" sz="1100" b="1" baseline="0">
              <a:solidFill>
                <a:srgbClr val="FF0000"/>
              </a:solidFill>
            </a:rPr>
            <a:t>2017&gt;2018</a:t>
          </a:r>
          <a:r>
            <a:rPr kumimoji="1" lang="ja-JP" altLang="en-US" sz="1100" b="1" baseline="0">
              <a:solidFill>
                <a:srgbClr val="FF0000"/>
              </a:solidFill>
            </a:rPr>
            <a:t>・・・衰退</a:t>
          </a:r>
          <a:endParaRPr kumimoji="1" lang="en-US" altLang="ja-JP" sz="1100" b="1" baseline="0">
            <a:solidFill>
              <a:srgbClr val="FF0000"/>
            </a:solidFill>
          </a:endParaRPr>
        </a:p>
        <a:p>
          <a:pPr algn="l"/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104775</xdr:colOff>
      <xdr:row>1</xdr:row>
      <xdr:rowOff>76200</xdr:rowOff>
    </xdr:from>
    <xdr:to>
      <xdr:col>17</xdr:col>
      <xdr:colOff>285750</xdr:colOff>
      <xdr:row>5</xdr:row>
      <xdr:rowOff>123825</xdr:rowOff>
    </xdr:to>
    <xdr:sp macro="" textlink="">
      <xdr:nvSpPr>
        <xdr:cNvPr id="4" name="正方形/長方形 3"/>
        <xdr:cNvSpPr/>
      </xdr:nvSpPr>
      <xdr:spPr>
        <a:xfrm>
          <a:off x="8458200" y="533400"/>
          <a:ext cx="2543175" cy="73342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寡占度判断基準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　　カテゴリ内ツール数が</a:t>
          </a:r>
          <a:r>
            <a:rPr kumimoji="1" lang="en-US" altLang="ja-JP" sz="1100" b="1">
              <a:solidFill>
                <a:srgbClr val="FF0000"/>
              </a:solidFill>
            </a:rPr>
            <a:t>8</a:t>
          </a:r>
          <a:r>
            <a:rPr kumimoji="1" lang="ja-JP" altLang="en-US" sz="1100" b="1">
              <a:solidFill>
                <a:srgbClr val="FF0000"/>
              </a:solidFill>
            </a:rPr>
            <a:t>以上・・・低　　　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 baseline="0">
              <a:solidFill>
                <a:srgbClr val="FF0000"/>
              </a:solidFill>
            </a:rPr>
            <a:t>  </a:t>
          </a:r>
          <a:r>
            <a:rPr kumimoji="1" lang="ja-JP" altLang="en-US" sz="1100" b="1">
              <a:solidFill>
                <a:srgbClr val="FF0000"/>
              </a:solidFill>
            </a:rPr>
            <a:t>                                          　</a:t>
          </a:r>
          <a:r>
            <a:rPr kumimoji="1" lang="en-US" altLang="ja-JP" sz="1100" b="1">
              <a:solidFill>
                <a:srgbClr val="FF0000"/>
              </a:solidFill>
            </a:rPr>
            <a:t>7</a:t>
          </a:r>
          <a:r>
            <a:rPr kumimoji="1" lang="ja-JP" altLang="en-US" sz="1100" b="1">
              <a:solidFill>
                <a:srgbClr val="FF0000"/>
              </a:solidFill>
            </a:rPr>
            <a:t>以下・・・高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95250</xdr:colOff>
      <xdr:row>13</xdr:row>
      <xdr:rowOff>28576</xdr:rowOff>
    </xdr:from>
    <xdr:to>
      <xdr:col>21</xdr:col>
      <xdr:colOff>295275</xdr:colOff>
      <xdr:row>15</xdr:row>
      <xdr:rowOff>76201</xdr:rowOff>
    </xdr:to>
    <xdr:sp macro="" textlink="">
      <xdr:nvSpPr>
        <xdr:cNvPr id="5" name="正方形/長方形 4"/>
        <xdr:cNvSpPr/>
      </xdr:nvSpPr>
      <xdr:spPr>
        <a:xfrm>
          <a:off x="11391900" y="2809876"/>
          <a:ext cx="5305425" cy="400050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カテゴリ分別が</a:t>
          </a:r>
          <a:r>
            <a:rPr kumimoji="1" lang="en-US" altLang="ja-JP" sz="1100" b="1">
              <a:solidFill>
                <a:srgbClr val="FF0000"/>
              </a:solidFill>
            </a:rPr>
            <a:t>2017</a:t>
          </a:r>
          <a:r>
            <a:rPr kumimoji="1" lang="ja-JP" altLang="en-US" sz="1100" b="1">
              <a:solidFill>
                <a:srgbClr val="FF0000"/>
              </a:solidFill>
            </a:rPr>
            <a:t>と</a:t>
          </a:r>
          <a:r>
            <a:rPr kumimoji="1" lang="en-US" altLang="ja-JP" sz="1100" b="1">
              <a:solidFill>
                <a:srgbClr val="FF0000"/>
              </a:solidFill>
            </a:rPr>
            <a:t>2018</a:t>
          </a:r>
          <a:r>
            <a:rPr kumimoji="1" lang="ja-JP" altLang="en-US" sz="1100" b="1">
              <a:solidFill>
                <a:srgbClr val="FF0000"/>
              </a:solidFill>
            </a:rPr>
            <a:t>で異なっていたため、ツール数、正確に計測できていません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  <xdr:twoCellAnchor>
    <xdr:from>
      <xdr:col>15</xdr:col>
      <xdr:colOff>76200</xdr:colOff>
      <xdr:row>15</xdr:row>
      <xdr:rowOff>171449</xdr:rowOff>
    </xdr:from>
    <xdr:to>
      <xdr:col>20</xdr:col>
      <xdr:colOff>409575</xdr:colOff>
      <xdr:row>21</xdr:row>
      <xdr:rowOff>133349</xdr:rowOff>
    </xdr:to>
    <xdr:sp macro="" textlink="">
      <xdr:nvSpPr>
        <xdr:cNvPr id="6" name="正方形/長方形 5"/>
        <xdr:cNvSpPr/>
      </xdr:nvSpPr>
      <xdr:spPr>
        <a:xfrm>
          <a:off x="11372850" y="3305174"/>
          <a:ext cx="4752975" cy="1000125"/>
        </a:xfrm>
        <a:prstGeom prst="rect">
          <a:avLst/>
        </a:prstGeom>
        <a:solidFill>
          <a:schemeClr val="bg1"/>
        </a:solidFill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rgbClr val="FF0000"/>
              </a:solidFill>
            </a:rPr>
            <a:t>・ブックマーク</a:t>
          </a:r>
          <a:r>
            <a:rPr kumimoji="1" lang="en-US" altLang="ja-JP" sz="1100" b="1">
              <a:solidFill>
                <a:srgbClr val="FF0000"/>
              </a:solidFill>
            </a:rPr>
            <a:t>/</a:t>
          </a:r>
          <a:r>
            <a:rPr kumimoji="1" lang="ja-JP" altLang="en-US" sz="1100" b="1">
              <a:solidFill>
                <a:srgbClr val="FF0000"/>
              </a:solidFill>
            </a:rPr>
            <a:t>シェア　のように区切られているもの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　ブックマークとシェアでそれぞれ検索し、その合算を記載</a:t>
          </a:r>
          <a:endParaRPr kumimoji="1" lang="en-US" altLang="ja-JP" sz="1100" b="1">
            <a:solidFill>
              <a:srgbClr val="FF0000"/>
            </a:solidFill>
          </a:endParaRPr>
        </a:p>
        <a:p>
          <a:pPr algn="l"/>
          <a:endParaRPr kumimoji="1" lang="en-US" altLang="ja-JP" sz="1100" b="1">
            <a:solidFill>
              <a:srgbClr val="FF0000"/>
            </a:solidFill>
          </a:endParaRP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・</a:t>
          </a:r>
          <a:r>
            <a:rPr kumimoji="1" lang="en-US" altLang="ja-JP" sz="1100" b="1">
              <a:solidFill>
                <a:srgbClr val="FF0000"/>
              </a:solidFill>
            </a:rPr>
            <a:t>SNS</a:t>
          </a:r>
          <a:r>
            <a:rPr kumimoji="1" lang="ja-JP" altLang="en-US" sz="1100" b="1">
              <a:solidFill>
                <a:srgbClr val="FF0000"/>
              </a:solidFill>
            </a:rPr>
            <a:t>のように、読み方が複数ある場合</a:t>
          </a:r>
          <a:r>
            <a:rPr kumimoji="1" lang="en-US" altLang="ja-JP" sz="1100" b="1">
              <a:solidFill>
                <a:srgbClr val="FF0000"/>
              </a:solidFill>
            </a:rPr>
            <a:t>(</a:t>
          </a:r>
          <a:r>
            <a:rPr kumimoji="1" lang="ja-JP" altLang="en-US" sz="1100" b="1">
              <a:solidFill>
                <a:srgbClr val="FF0000"/>
              </a:solidFill>
            </a:rPr>
            <a:t>エスエヌエス、ソーシャルメディア・・・</a:t>
          </a:r>
          <a:r>
            <a:rPr kumimoji="1" lang="en-US" altLang="ja-JP" sz="1100" b="1">
              <a:solidFill>
                <a:srgbClr val="FF0000"/>
              </a:solidFill>
            </a:rPr>
            <a:t>)</a:t>
          </a:r>
        </a:p>
        <a:p>
          <a:pPr algn="l"/>
          <a:r>
            <a:rPr kumimoji="1" lang="ja-JP" altLang="en-US" sz="1100" b="1">
              <a:solidFill>
                <a:srgbClr val="FF0000"/>
              </a:solidFill>
            </a:rPr>
            <a:t>　多いほうを使う</a:t>
          </a:r>
          <a:endParaRPr kumimoji="1" lang="en-US" altLang="ja-JP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68"/>
  <sheetViews>
    <sheetView tabSelected="1" zoomScale="90" zoomScaleNormal="90" workbookViewId="0">
      <pane ySplit="1" topLeftCell="A2" activePane="bottomLeft" state="frozen"/>
      <selection pane="bottomLeft" activeCell="O11" sqref="O11"/>
    </sheetView>
  </sheetViews>
  <sheetFormatPr defaultRowHeight="12.75"/>
  <cols>
    <col min="1" max="1" width="22.3984375" bestFit="1" customWidth="1"/>
    <col min="2" max="2" width="5.73046875" bestFit="1" customWidth="1"/>
    <col min="3" max="3" width="31.73046875" customWidth="1"/>
    <col min="4" max="5" width="12.86328125" bestFit="1" customWidth="1"/>
    <col min="6" max="6" width="12.86328125" hidden="1" customWidth="1"/>
    <col min="7" max="9" width="15" hidden="1" customWidth="1"/>
    <col min="10" max="11" width="7.3984375" bestFit="1" customWidth="1"/>
    <col min="12" max="14" width="7.3984375" customWidth="1"/>
    <col min="15" max="15" width="28.73046875" customWidth="1"/>
    <col min="16" max="16" width="22" bestFit="1" customWidth="1"/>
  </cols>
  <sheetData>
    <row r="1" spans="1:16" ht="56.25" customHeight="1" thickBot="1">
      <c r="A1" s="3" t="s">
        <v>39</v>
      </c>
      <c r="B1" s="4" t="s">
        <v>45</v>
      </c>
      <c r="C1" s="4" t="s">
        <v>40</v>
      </c>
      <c r="D1" s="29" t="s">
        <v>88</v>
      </c>
      <c r="E1" s="29" t="s">
        <v>61</v>
      </c>
      <c r="F1" s="29" t="s">
        <v>96</v>
      </c>
      <c r="G1" s="29" t="s">
        <v>97</v>
      </c>
      <c r="H1" s="29" t="s">
        <v>98</v>
      </c>
      <c r="I1" s="29" t="s">
        <v>99</v>
      </c>
      <c r="J1" s="8" t="s">
        <v>56</v>
      </c>
      <c r="K1" s="8" t="s">
        <v>57</v>
      </c>
      <c r="L1" s="38" t="s">
        <v>60</v>
      </c>
      <c r="M1" s="7" t="s">
        <v>43</v>
      </c>
      <c r="N1" s="6" t="s">
        <v>44</v>
      </c>
      <c r="O1" s="8" t="s">
        <v>100</v>
      </c>
    </row>
    <row r="2" spans="1:16">
      <c r="A2" s="59" t="s">
        <v>0</v>
      </c>
      <c r="B2" s="16">
        <v>1</v>
      </c>
      <c r="C2" s="111" t="s">
        <v>62</v>
      </c>
      <c r="D2" s="30">
        <v>95900000</v>
      </c>
      <c r="E2" s="48">
        <f t="shared" ref="E2:E18" si="0">F2+G2+H2+I2</f>
        <v>189000000</v>
      </c>
      <c r="F2" s="46">
        <v>189000000</v>
      </c>
      <c r="G2" s="46"/>
      <c r="H2" s="46"/>
      <c r="I2" s="46"/>
      <c r="J2" s="92">
        <v>9</v>
      </c>
      <c r="K2" s="92">
        <v>19</v>
      </c>
      <c r="L2" s="86">
        <f>K2/J2</f>
        <v>2.1111111111111112</v>
      </c>
      <c r="M2" s="103" t="s">
        <v>50</v>
      </c>
      <c r="N2" s="104" t="s">
        <v>52</v>
      </c>
      <c r="O2" s="17" t="s">
        <v>101</v>
      </c>
    </row>
    <row r="3" spans="1:16">
      <c r="A3" s="60"/>
      <c r="B3" s="5">
        <v>2</v>
      </c>
      <c r="C3" s="5" t="s">
        <v>7</v>
      </c>
      <c r="D3" s="44">
        <v>356000000</v>
      </c>
      <c r="E3" s="48">
        <f t="shared" si="0"/>
        <v>356000000</v>
      </c>
      <c r="F3" s="68">
        <v>356000000</v>
      </c>
      <c r="G3" s="68"/>
      <c r="H3" s="68"/>
      <c r="I3" s="68"/>
      <c r="J3" s="18">
        <v>4</v>
      </c>
      <c r="K3" s="18">
        <v>4</v>
      </c>
      <c r="L3" s="40">
        <f t="shared" ref="L3:L66" si="1">K3/J3</f>
        <v>1</v>
      </c>
      <c r="M3" s="33" t="s">
        <v>53</v>
      </c>
      <c r="N3" s="9" t="s">
        <v>51</v>
      </c>
      <c r="O3" s="18"/>
    </row>
    <row r="4" spans="1:16">
      <c r="A4" s="60"/>
      <c r="B4" s="5">
        <v>3</v>
      </c>
      <c r="C4" s="5" t="s">
        <v>8</v>
      </c>
      <c r="D4" s="31">
        <v>1290000</v>
      </c>
      <c r="E4" s="49">
        <f t="shared" si="0"/>
        <v>27500000</v>
      </c>
      <c r="F4" s="31">
        <v>27500000</v>
      </c>
      <c r="G4" s="31"/>
      <c r="H4" s="31"/>
      <c r="I4" s="31"/>
      <c r="J4" s="13">
        <v>5</v>
      </c>
      <c r="K4" s="13">
        <v>9</v>
      </c>
      <c r="L4" s="39">
        <f t="shared" si="1"/>
        <v>1.8</v>
      </c>
      <c r="M4" s="34" t="s">
        <v>50</v>
      </c>
      <c r="N4" s="14" t="s">
        <v>52</v>
      </c>
      <c r="O4" s="18"/>
    </row>
    <row r="5" spans="1:16">
      <c r="A5" s="60"/>
      <c r="B5" s="5">
        <v>4</v>
      </c>
      <c r="C5" s="5" t="s">
        <v>54</v>
      </c>
      <c r="D5" s="31">
        <v>49000</v>
      </c>
      <c r="E5" s="49">
        <f t="shared" si="0"/>
        <v>49000</v>
      </c>
      <c r="F5" s="31">
        <v>49000</v>
      </c>
      <c r="G5" s="31"/>
      <c r="H5" s="31"/>
      <c r="I5" s="31"/>
      <c r="J5" s="95" t="s">
        <v>63</v>
      </c>
      <c r="K5" s="95">
        <v>6</v>
      </c>
      <c r="L5" s="96" t="e">
        <f t="shared" si="1"/>
        <v>#VALUE!</v>
      </c>
      <c r="M5" s="97" t="s">
        <v>50</v>
      </c>
      <c r="N5" s="9" t="s">
        <v>51</v>
      </c>
      <c r="O5" s="18"/>
    </row>
    <row r="6" spans="1:16">
      <c r="A6" s="60"/>
      <c r="B6" s="5">
        <v>5</v>
      </c>
      <c r="C6" s="5" t="s">
        <v>9</v>
      </c>
      <c r="D6" s="83">
        <v>2070000000</v>
      </c>
      <c r="E6" s="84">
        <f t="shared" si="0"/>
        <v>2070000000</v>
      </c>
      <c r="F6" s="68">
        <v>2070000000</v>
      </c>
      <c r="G6" s="68"/>
      <c r="H6" s="68"/>
      <c r="I6" s="68"/>
      <c r="J6" s="69">
        <v>3</v>
      </c>
      <c r="K6" s="69">
        <v>2</v>
      </c>
      <c r="L6" s="70">
        <f t="shared" si="1"/>
        <v>0.66666666666666663</v>
      </c>
      <c r="M6" s="71" t="s">
        <v>55</v>
      </c>
      <c r="N6" s="9" t="s">
        <v>51</v>
      </c>
      <c r="O6" s="18"/>
    </row>
    <row r="7" spans="1:16">
      <c r="A7" s="60"/>
      <c r="B7" s="5">
        <v>6</v>
      </c>
      <c r="C7" s="5" t="s">
        <v>10</v>
      </c>
      <c r="D7" s="44">
        <v>242000000</v>
      </c>
      <c r="E7" s="48">
        <f t="shared" si="0"/>
        <v>242000000</v>
      </c>
      <c r="F7" s="68">
        <v>242000000</v>
      </c>
      <c r="G7" s="68"/>
      <c r="H7" s="68"/>
      <c r="I7" s="68"/>
      <c r="J7" s="69">
        <v>4</v>
      </c>
      <c r="K7" s="69">
        <v>3</v>
      </c>
      <c r="L7" s="70">
        <f t="shared" si="1"/>
        <v>0.75</v>
      </c>
      <c r="M7" s="71" t="s">
        <v>55</v>
      </c>
      <c r="N7" s="9" t="s">
        <v>51</v>
      </c>
      <c r="O7" s="18"/>
    </row>
    <row r="8" spans="1:16">
      <c r="A8" s="60"/>
      <c r="B8" s="5">
        <v>7</v>
      </c>
      <c r="C8" s="110" t="s">
        <v>11</v>
      </c>
      <c r="D8" s="31">
        <v>79700000</v>
      </c>
      <c r="E8" s="49">
        <f t="shared" si="0"/>
        <v>79700000</v>
      </c>
      <c r="F8" s="31">
        <v>79700000</v>
      </c>
      <c r="G8" s="31"/>
      <c r="H8" s="31"/>
      <c r="I8" s="31"/>
      <c r="J8" s="85">
        <v>4</v>
      </c>
      <c r="K8" s="85">
        <v>9</v>
      </c>
      <c r="L8" s="86">
        <f t="shared" si="1"/>
        <v>2.25</v>
      </c>
      <c r="M8" s="87" t="s">
        <v>50</v>
      </c>
      <c r="N8" s="14" t="s">
        <v>52</v>
      </c>
      <c r="O8" s="18" t="s">
        <v>102</v>
      </c>
    </row>
    <row r="9" spans="1:16">
      <c r="A9" s="60"/>
      <c r="B9" s="5">
        <v>8</v>
      </c>
      <c r="C9" s="5" t="s">
        <v>64</v>
      </c>
      <c r="D9" s="31">
        <v>63800000</v>
      </c>
      <c r="E9" s="49">
        <f t="shared" si="0"/>
        <v>63800000</v>
      </c>
      <c r="F9" s="31">
        <v>63800000</v>
      </c>
      <c r="G9" s="31"/>
      <c r="H9" s="31"/>
      <c r="I9" s="31"/>
      <c r="J9" s="95" t="s">
        <v>58</v>
      </c>
      <c r="K9" s="95">
        <v>6</v>
      </c>
      <c r="L9" s="96" t="e">
        <f t="shared" si="1"/>
        <v>#VALUE!</v>
      </c>
      <c r="M9" s="97"/>
      <c r="N9" s="9" t="s">
        <v>51</v>
      </c>
      <c r="O9" s="18"/>
    </row>
    <row r="10" spans="1:16">
      <c r="A10" s="60"/>
      <c r="B10" s="5">
        <v>9</v>
      </c>
      <c r="C10" s="5" t="s">
        <v>65</v>
      </c>
      <c r="D10" s="31">
        <v>20100000</v>
      </c>
      <c r="E10" s="49">
        <f t="shared" si="0"/>
        <v>20100000</v>
      </c>
      <c r="F10" s="31">
        <v>20100000</v>
      </c>
      <c r="G10" s="31"/>
      <c r="H10" s="31"/>
      <c r="I10" s="31"/>
      <c r="J10" s="95" t="s">
        <v>58</v>
      </c>
      <c r="K10" s="95">
        <v>7</v>
      </c>
      <c r="L10" s="96" t="e">
        <f t="shared" si="1"/>
        <v>#VALUE!</v>
      </c>
      <c r="M10" s="97"/>
      <c r="N10" s="9" t="s">
        <v>51</v>
      </c>
      <c r="O10" s="18"/>
    </row>
    <row r="11" spans="1:16" ht="13.15" thickBot="1">
      <c r="A11" s="61"/>
      <c r="B11" s="19">
        <v>10</v>
      </c>
      <c r="C11" s="19" t="s">
        <v>13</v>
      </c>
      <c r="D11" s="73">
        <v>559000000</v>
      </c>
      <c r="E11" s="74">
        <f t="shared" si="0"/>
        <v>559000000</v>
      </c>
      <c r="F11" s="73">
        <v>559000000</v>
      </c>
      <c r="G11" s="73"/>
      <c r="H11" s="73"/>
      <c r="I11" s="73"/>
      <c r="J11" s="76" t="s">
        <v>58</v>
      </c>
      <c r="K11" s="76">
        <v>7</v>
      </c>
      <c r="L11" s="77" t="e">
        <f t="shared" si="1"/>
        <v>#VALUE!</v>
      </c>
      <c r="M11" s="78"/>
      <c r="N11" s="10" t="s">
        <v>51</v>
      </c>
      <c r="O11" s="20"/>
    </row>
    <row r="12" spans="1:16">
      <c r="A12" s="59" t="s">
        <v>1</v>
      </c>
      <c r="B12" s="51">
        <v>1</v>
      </c>
      <c r="C12" s="16" t="s">
        <v>89</v>
      </c>
      <c r="D12" s="30">
        <v>373000000</v>
      </c>
      <c r="E12" s="55">
        <f t="shared" si="0"/>
        <v>373000000</v>
      </c>
      <c r="F12" s="46">
        <v>373000000</v>
      </c>
      <c r="G12" s="46"/>
      <c r="H12" s="46"/>
      <c r="I12" s="46"/>
      <c r="J12" s="17">
        <v>6</v>
      </c>
      <c r="K12" s="17">
        <v>7</v>
      </c>
      <c r="L12" s="41">
        <f t="shared" si="1"/>
        <v>1.1666666666666667</v>
      </c>
      <c r="M12" s="36" t="s">
        <v>53</v>
      </c>
      <c r="N12" s="11" t="s">
        <v>51</v>
      </c>
      <c r="O12" s="17"/>
      <c r="P12" s="1"/>
    </row>
    <row r="13" spans="1:16">
      <c r="A13" s="60"/>
      <c r="B13" s="5">
        <v>2</v>
      </c>
      <c r="C13" s="5" t="s">
        <v>12</v>
      </c>
      <c r="D13" s="44">
        <v>214000000</v>
      </c>
      <c r="E13" s="48">
        <f t="shared" si="0"/>
        <v>214000000</v>
      </c>
      <c r="F13" s="44">
        <v>214000000</v>
      </c>
      <c r="G13" s="44"/>
      <c r="H13" s="44"/>
      <c r="I13" s="44"/>
      <c r="J13" s="95" t="s">
        <v>58</v>
      </c>
      <c r="K13" s="95">
        <v>8</v>
      </c>
      <c r="L13" s="96" t="e">
        <f t="shared" si="1"/>
        <v>#VALUE!</v>
      </c>
      <c r="M13" s="97"/>
      <c r="N13" s="14" t="s">
        <v>52</v>
      </c>
      <c r="O13" s="18"/>
      <c r="P13" s="1"/>
    </row>
    <row r="14" spans="1:16">
      <c r="A14" s="60"/>
      <c r="B14" s="5">
        <v>3</v>
      </c>
      <c r="C14" s="5" t="s">
        <v>14</v>
      </c>
      <c r="D14" s="44">
        <v>83900000</v>
      </c>
      <c r="E14" s="48">
        <f t="shared" si="0"/>
        <v>495000000</v>
      </c>
      <c r="F14" s="44">
        <v>495000000</v>
      </c>
      <c r="G14" s="44"/>
      <c r="H14" s="44"/>
      <c r="I14" s="44"/>
      <c r="J14" s="95" t="s">
        <v>58</v>
      </c>
      <c r="K14" s="95">
        <v>5</v>
      </c>
      <c r="L14" s="96" t="e">
        <f t="shared" si="1"/>
        <v>#VALUE!</v>
      </c>
      <c r="M14" s="97"/>
      <c r="N14" s="9" t="s">
        <v>51</v>
      </c>
      <c r="O14" s="18"/>
      <c r="P14" s="1"/>
    </row>
    <row r="15" spans="1:16" ht="13.15" thickBot="1">
      <c r="A15" s="61"/>
      <c r="B15" s="19">
        <v>4</v>
      </c>
      <c r="C15" s="19" t="s">
        <v>66</v>
      </c>
      <c r="D15" s="45">
        <v>2960000</v>
      </c>
      <c r="E15" s="53">
        <f t="shared" si="0"/>
        <v>2960000</v>
      </c>
      <c r="F15" s="45">
        <v>2960000</v>
      </c>
      <c r="G15" s="45"/>
      <c r="H15" s="45"/>
      <c r="I15" s="45"/>
      <c r="J15" s="76" t="s">
        <v>58</v>
      </c>
      <c r="K15" s="76">
        <v>7</v>
      </c>
      <c r="L15" s="77" t="e">
        <f t="shared" si="1"/>
        <v>#VALUE!</v>
      </c>
      <c r="M15" s="78"/>
      <c r="N15" s="10" t="s">
        <v>51</v>
      </c>
      <c r="O15" s="20"/>
      <c r="P15" s="1"/>
    </row>
    <row r="16" spans="1:16" ht="13.15" thickBot="1">
      <c r="A16" s="2" t="s">
        <v>2</v>
      </c>
      <c r="B16" s="19">
        <v>1</v>
      </c>
      <c r="C16" s="112" t="s">
        <v>15</v>
      </c>
      <c r="D16" s="79">
        <v>512000000</v>
      </c>
      <c r="E16" s="74">
        <f t="shared" si="0"/>
        <v>512000000</v>
      </c>
      <c r="F16" s="79">
        <v>512000000</v>
      </c>
      <c r="G16" s="79"/>
      <c r="H16" s="79"/>
      <c r="I16" s="79"/>
      <c r="J16" s="80">
        <v>9</v>
      </c>
      <c r="K16" s="80">
        <v>12</v>
      </c>
      <c r="L16" s="75">
        <f t="shared" si="1"/>
        <v>1.3333333333333333</v>
      </c>
      <c r="M16" s="81" t="s">
        <v>50</v>
      </c>
      <c r="N16" s="105" t="s">
        <v>52</v>
      </c>
      <c r="O16" s="22" t="s">
        <v>103</v>
      </c>
      <c r="P16" s="1"/>
    </row>
    <row r="17" spans="1:16">
      <c r="A17" s="59" t="s">
        <v>3</v>
      </c>
      <c r="B17" s="51">
        <v>1</v>
      </c>
      <c r="C17" s="16" t="s">
        <v>16</v>
      </c>
      <c r="D17" s="30">
        <v>430000000</v>
      </c>
      <c r="E17" s="55">
        <f t="shared" si="0"/>
        <v>430000000</v>
      </c>
      <c r="F17" s="82">
        <v>430000000</v>
      </c>
      <c r="G17" s="82"/>
      <c r="H17" s="82"/>
      <c r="I17" s="82"/>
      <c r="J17" s="17">
        <v>5</v>
      </c>
      <c r="K17" s="17">
        <v>5</v>
      </c>
      <c r="L17" s="41">
        <f t="shared" si="1"/>
        <v>1</v>
      </c>
      <c r="M17" s="36" t="s">
        <v>53</v>
      </c>
      <c r="N17" s="11" t="s">
        <v>51</v>
      </c>
      <c r="O17" s="17"/>
      <c r="P17" s="1"/>
    </row>
    <row r="18" spans="1:16">
      <c r="A18" s="60"/>
      <c r="B18" s="5">
        <v>2</v>
      </c>
      <c r="C18" s="5" t="s">
        <v>17</v>
      </c>
      <c r="D18" s="44">
        <v>280000000</v>
      </c>
      <c r="E18" s="48">
        <f t="shared" si="0"/>
        <v>280000000</v>
      </c>
      <c r="F18" s="44">
        <v>280000000</v>
      </c>
      <c r="G18" s="44"/>
      <c r="H18" s="44"/>
      <c r="I18" s="44"/>
      <c r="J18" s="95" t="s">
        <v>58</v>
      </c>
      <c r="K18" s="95">
        <v>2</v>
      </c>
      <c r="L18" s="96" t="e">
        <f t="shared" si="1"/>
        <v>#VALUE!</v>
      </c>
      <c r="M18" s="97"/>
      <c r="N18" s="9" t="s">
        <v>51</v>
      </c>
      <c r="O18" s="18"/>
      <c r="P18" s="1"/>
    </row>
    <row r="19" spans="1:16">
      <c r="A19" s="60"/>
      <c r="B19" s="5">
        <v>3</v>
      </c>
      <c r="C19" s="23" t="s">
        <v>18</v>
      </c>
      <c r="D19" s="49">
        <v>331000</v>
      </c>
      <c r="E19" s="49">
        <f>F19+G19+H19+I19</f>
        <v>40800000</v>
      </c>
      <c r="F19" s="49">
        <v>24900000</v>
      </c>
      <c r="G19" s="49">
        <v>15900000</v>
      </c>
      <c r="H19" s="49"/>
      <c r="I19" s="49"/>
      <c r="J19" s="95" t="s">
        <v>58</v>
      </c>
      <c r="K19" s="95">
        <v>11</v>
      </c>
      <c r="L19" s="96" t="e">
        <f t="shared" si="1"/>
        <v>#VALUE!</v>
      </c>
      <c r="M19" s="97"/>
      <c r="N19" s="106" t="s">
        <v>52</v>
      </c>
      <c r="O19" s="18"/>
      <c r="P19" s="1"/>
    </row>
    <row r="20" spans="1:16" ht="13.15" thickBot="1">
      <c r="A20" s="60"/>
      <c r="B20" s="19">
        <v>4</v>
      </c>
      <c r="C20" s="110" t="s">
        <v>67</v>
      </c>
      <c r="D20" s="44">
        <v>492000000</v>
      </c>
      <c r="E20" s="48">
        <f t="shared" ref="E20:E68" si="2">F20+G20+H20+I20</f>
        <v>492000000</v>
      </c>
      <c r="F20" s="44">
        <v>492000000</v>
      </c>
      <c r="G20" s="44"/>
      <c r="H20" s="44"/>
      <c r="I20" s="44"/>
      <c r="J20" s="95" t="s">
        <v>58</v>
      </c>
      <c r="K20" s="95">
        <v>10</v>
      </c>
      <c r="L20" s="96" t="e">
        <f t="shared" si="1"/>
        <v>#VALUE!</v>
      </c>
      <c r="M20" s="97"/>
      <c r="N20" s="106" t="s">
        <v>52</v>
      </c>
      <c r="O20" s="18" t="s">
        <v>104</v>
      </c>
      <c r="P20" s="1"/>
    </row>
    <row r="21" spans="1:16">
      <c r="A21" s="60"/>
      <c r="B21" s="51">
        <v>5</v>
      </c>
      <c r="C21" s="5" t="s">
        <v>68</v>
      </c>
      <c r="D21" s="31">
        <v>200000</v>
      </c>
      <c r="E21" s="49">
        <f t="shared" si="2"/>
        <v>200000</v>
      </c>
      <c r="F21" s="31">
        <v>200000</v>
      </c>
      <c r="G21" s="31"/>
      <c r="H21" s="31"/>
      <c r="I21" s="31"/>
      <c r="J21" s="95" t="s">
        <v>58</v>
      </c>
      <c r="K21" s="95">
        <v>5</v>
      </c>
      <c r="L21" s="96" t="e">
        <f t="shared" si="1"/>
        <v>#VALUE!</v>
      </c>
      <c r="M21" s="97"/>
      <c r="N21" s="9" t="s">
        <v>51</v>
      </c>
      <c r="O21" s="18"/>
      <c r="P21" s="1"/>
    </row>
    <row r="22" spans="1:16" ht="13.15" thickBot="1">
      <c r="A22" s="61"/>
      <c r="B22" s="19">
        <v>6</v>
      </c>
      <c r="C22" s="19" t="s">
        <v>19</v>
      </c>
      <c r="D22" s="73">
        <v>453000000</v>
      </c>
      <c r="E22" s="74">
        <f t="shared" si="2"/>
        <v>453000000</v>
      </c>
      <c r="F22" s="73">
        <v>453000000</v>
      </c>
      <c r="G22" s="73"/>
      <c r="H22" s="73"/>
      <c r="I22" s="73"/>
      <c r="J22" s="76" t="s">
        <v>58</v>
      </c>
      <c r="K22" s="76">
        <v>6</v>
      </c>
      <c r="L22" s="77" t="e">
        <f t="shared" si="1"/>
        <v>#VALUE!</v>
      </c>
      <c r="M22" s="78"/>
      <c r="N22" s="10" t="s">
        <v>51</v>
      </c>
      <c r="O22" s="20"/>
      <c r="P22" s="1"/>
    </row>
    <row r="23" spans="1:16" ht="13.15" thickBot="1">
      <c r="A23" s="59" t="s">
        <v>4</v>
      </c>
      <c r="B23" s="21">
        <v>1</v>
      </c>
      <c r="C23" s="16" t="s">
        <v>20</v>
      </c>
      <c r="D23" s="30">
        <v>18500000</v>
      </c>
      <c r="E23" s="55">
        <f t="shared" si="2"/>
        <v>119000000</v>
      </c>
      <c r="F23" s="30">
        <v>119000000</v>
      </c>
      <c r="G23" s="30"/>
      <c r="H23" s="30"/>
      <c r="I23" s="30"/>
      <c r="J23" s="98" t="s">
        <v>58</v>
      </c>
      <c r="K23" s="98">
        <v>9</v>
      </c>
      <c r="L23" s="99" t="e">
        <f t="shared" si="1"/>
        <v>#VALUE!</v>
      </c>
      <c r="M23" s="100"/>
      <c r="N23" s="27" t="s">
        <v>52</v>
      </c>
      <c r="O23" s="17"/>
      <c r="P23" s="1"/>
    </row>
    <row r="24" spans="1:16" ht="13.15" thickBot="1">
      <c r="A24" s="61"/>
      <c r="B24" s="65">
        <v>2</v>
      </c>
      <c r="C24" s="19" t="s">
        <v>59</v>
      </c>
      <c r="D24" s="45">
        <v>34100000</v>
      </c>
      <c r="E24" s="53">
        <f t="shared" si="2"/>
        <v>34100000</v>
      </c>
      <c r="F24" s="45">
        <v>34100000</v>
      </c>
      <c r="G24" s="45"/>
      <c r="H24" s="45"/>
      <c r="I24" s="45"/>
      <c r="J24" s="20">
        <v>5</v>
      </c>
      <c r="K24" s="20">
        <v>5</v>
      </c>
      <c r="L24" s="42">
        <f t="shared" si="1"/>
        <v>1</v>
      </c>
      <c r="M24" s="35" t="s">
        <v>53</v>
      </c>
      <c r="N24" s="10" t="s">
        <v>51</v>
      </c>
      <c r="O24" s="20"/>
      <c r="P24" s="1"/>
    </row>
    <row r="25" spans="1:16">
      <c r="A25" s="56" t="s">
        <v>5</v>
      </c>
      <c r="B25" s="51">
        <v>1</v>
      </c>
      <c r="C25" s="111" t="s">
        <v>69</v>
      </c>
      <c r="D25" s="46">
        <v>5190000</v>
      </c>
      <c r="E25" s="54">
        <f t="shared" si="2"/>
        <v>5190000</v>
      </c>
      <c r="F25" s="46">
        <v>5190000</v>
      </c>
      <c r="G25" s="46"/>
      <c r="H25" s="46"/>
      <c r="I25" s="46"/>
      <c r="J25" s="92">
        <v>3</v>
      </c>
      <c r="K25" s="92">
        <v>8</v>
      </c>
      <c r="L25" s="93">
        <f t="shared" si="1"/>
        <v>2.6666666666666665</v>
      </c>
      <c r="M25" s="103" t="s">
        <v>50</v>
      </c>
      <c r="N25" s="27" t="s">
        <v>52</v>
      </c>
      <c r="O25" s="17" t="s">
        <v>105</v>
      </c>
    </row>
    <row r="26" spans="1:16">
      <c r="A26" s="57"/>
      <c r="B26" s="5">
        <v>2</v>
      </c>
      <c r="C26" s="5" t="s">
        <v>70</v>
      </c>
      <c r="D26" s="31">
        <v>11600000</v>
      </c>
      <c r="E26" s="49">
        <f t="shared" si="2"/>
        <v>11600000</v>
      </c>
      <c r="F26" s="31">
        <v>11600000</v>
      </c>
      <c r="G26" s="31"/>
      <c r="H26" s="31"/>
      <c r="I26" s="31"/>
      <c r="J26" s="18">
        <v>8</v>
      </c>
      <c r="K26" s="18">
        <v>10</v>
      </c>
      <c r="L26" s="40">
        <f t="shared" si="1"/>
        <v>1.25</v>
      </c>
      <c r="M26" s="33" t="s">
        <v>53</v>
      </c>
      <c r="N26" s="106" t="s">
        <v>52</v>
      </c>
      <c r="O26" s="18"/>
      <c r="P26" s="1"/>
    </row>
    <row r="27" spans="1:16">
      <c r="A27" s="57"/>
      <c r="B27" s="5">
        <v>3</v>
      </c>
      <c r="C27" s="110" t="s">
        <v>21</v>
      </c>
      <c r="D27" s="83">
        <v>1230000000</v>
      </c>
      <c r="E27" s="84">
        <f t="shared" si="2"/>
        <v>1230000000</v>
      </c>
      <c r="F27" s="44">
        <v>1230000000</v>
      </c>
      <c r="G27" s="44"/>
      <c r="H27" s="44"/>
      <c r="I27" s="44"/>
      <c r="J27" s="85">
        <v>3</v>
      </c>
      <c r="K27" s="85">
        <v>9</v>
      </c>
      <c r="L27" s="86">
        <f t="shared" si="1"/>
        <v>3</v>
      </c>
      <c r="M27" s="87" t="s">
        <v>50</v>
      </c>
      <c r="N27" s="14" t="s">
        <v>52</v>
      </c>
      <c r="O27" s="18" t="s">
        <v>104</v>
      </c>
      <c r="P27" s="1"/>
    </row>
    <row r="28" spans="1:16" ht="13.15" thickBot="1">
      <c r="A28" s="58"/>
      <c r="B28" s="19">
        <v>4</v>
      </c>
      <c r="C28" s="19" t="s">
        <v>22</v>
      </c>
      <c r="D28" s="73">
        <v>352000000</v>
      </c>
      <c r="E28" s="74">
        <f t="shared" si="2"/>
        <v>352000000</v>
      </c>
      <c r="F28" s="45">
        <v>352000000</v>
      </c>
      <c r="G28" s="45"/>
      <c r="H28" s="45"/>
      <c r="I28" s="45"/>
      <c r="J28" s="20">
        <v>3</v>
      </c>
      <c r="K28" s="20">
        <v>3</v>
      </c>
      <c r="L28" s="42">
        <f t="shared" si="1"/>
        <v>1</v>
      </c>
      <c r="M28" s="35" t="s">
        <v>53</v>
      </c>
      <c r="N28" s="10" t="s">
        <v>51</v>
      </c>
      <c r="O28" s="20"/>
      <c r="P28" s="1"/>
    </row>
    <row r="29" spans="1:16">
      <c r="A29" s="56" t="s">
        <v>46</v>
      </c>
      <c r="B29" s="51">
        <v>1</v>
      </c>
      <c r="C29" s="111" t="s">
        <v>90</v>
      </c>
      <c r="D29" s="30">
        <v>498000000</v>
      </c>
      <c r="E29" s="55">
        <f t="shared" si="2"/>
        <v>498000000</v>
      </c>
      <c r="F29" s="30">
        <v>498000000</v>
      </c>
      <c r="G29" s="30"/>
      <c r="H29" s="30"/>
      <c r="I29" s="30"/>
      <c r="J29" s="26">
        <v>13</v>
      </c>
      <c r="K29" s="26">
        <v>20</v>
      </c>
      <c r="L29" s="43">
        <f t="shared" si="1"/>
        <v>1.5384615384615385</v>
      </c>
      <c r="M29" s="32" t="s">
        <v>50</v>
      </c>
      <c r="N29" s="107" t="s">
        <v>52</v>
      </c>
      <c r="O29" s="17" t="s">
        <v>106</v>
      </c>
      <c r="P29" s="1"/>
    </row>
    <row r="30" spans="1:16">
      <c r="A30" s="57"/>
      <c r="B30" s="5">
        <v>2</v>
      </c>
      <c r="C30" s="5" t="s">
        <v>71</v>
      </c>
      <c r="D30" s="44">
        <v>919000</v>
      </c>
      <c r="E30" s="48">
        <f t="shared" si="2"/>
        <v>438000000</v>
      </c>
      <c r="F30" s="31">
        <v>438000000</v>
      </c>
      <c r="G30" s="31"/>
      <c r="H30" s="31"/>
      <c r="I30" s="31"/>
      <c r="J30" s="18">
        <v>4</v>
      </c>
      <c r="K30" s="18">
        <v>5</v>
      </c>
      <c r="L30" s="40">
        <f t="shared" si="1"/>
        <v>1.25</v>
      </c>
      <c r="M30" s="33" t="s">
        <v>53</v>
      </c>
      <c r="N30" s="9" t="s">
        <v>51</v>
      </c>
      <c r="O30" s="18"/>
      <c r="P30" s="1"/>
    </row>
    <row r="31" spans="1:16">
      <c r="A31" s="57"/>
      <c r="B31" s="5">
        <v>3</v>
      </c>
      <c r="C31" s="5" t="s">
        <v>23</v>
      </c>
      <c r="D31" s="44">
        <v>438000000</v>
      </c>
      <c r="E31" s="48">
        <f t="shared" si="2"/>
        <v>438000000</v>
      </c>
      <c r="F31" s="31">
        <v>438000000</v>
      </c>
      <c r="G31" s="31"/>
      <c r="H31" s="31"/>
      <c r="I31" s="31"/>
      <c r="J31" s="18">
        <v>2</v>
      </c>
      <c r="K31" s="18">
        <v>2</v>
      </c>
      <c r="L31" s="40">
        <f t="shared" si="1"/>
        <v>1</v>
      </c>
      <c r="M31" s="33" t="s">
        <v>53</v>
      </c>
      <c r="N31" s="9" t="s">
        <v>51</v>
      </c>
      <c r="O31" s="18"/>
      <c r="P31" s="1"/>
    </row>
    <row r="32" spans="1:16" ht="25.5">
      <c r="A32" s="57"/>
      <c r="B32" s="5">
        <v>4</v>
      </c>
      <c r="C32" s="23" t="s">
        <v>38</v>
      </c>
      <c r="D32" s="49">
        <v>16000000</v>
      </c>
      <c r="E32" s="49">
        <f t="shared" si="2"/>
        <v>16000000</v>
      </c>
      <c r="F32" s="49">
        <v>16000000</v>
      </c>
      <c r="G32" s="49"/>
      <c r="H32" s="49"/>
      <c r="I32" s="49"/>
      <c r="J32" s="15">
        <v>4</v>
      </c>
      <c r="K32" s="15">
        <v>7</v>
      </c>
      <c r="L32" s="39">
        <f t="shared" si="1"/>
        <v>1.75</v>
      </c>
      <c r="M32" s="34" t="s">
        <v>50</v>
      </c>
      <c r="N32" s="9" t="s">
        <v>51</v>
      </c>
      <c r="O32" s="24"/>
    </row>
    <row r="33" spans="1:16">
      <c r="A33" s="57"/>
      <c r="B33" s="5">
        <v>5</v>
      </c>
      <c r="C33" s="5" t="s">
        <v>24</v>
      </c>
      <c r="D33" s="44">
        <v>24700000</v>
      </c>
      <c r="E33" s="48">
        <f t="shared" si="2"/>
        <v>638100000</v>
      </c>
      <c r="F33" s="44">
        <v>63100000</v>
      </c>
      <c r="G33" s="44">
        <v>575000000</v>
      </c>
      <c r="H33" s="44"/>
      <c r="I33" s="44"/>
      <c r="J33" s="95" t="s">
        <v>58</v>
      </c>
      <c r="K33" s="95">
        <v>8</v>
      </c>
      <c r="L33" s="96" t="e">
        <f t="shared" si="1"/>
        <v>#VALUE!</v>
      </c>
      <c r="M33" s="97"/>
      <c r="N33" s="14" t="s">
        <v>52</v>
      </c>
      <c r="O33" s="18"/>
      <c r="P33" s="1"/>
    </row>
    <row r="34" spans="1:16" ht="13.15" thickBot="1">
      <c r="A34" s="58"/>
      <c r="B34" s="19">
        <v>6</v>
      </c>
      <c r="C34" s="19" t="s">
        <v>72</v>
      </c>
      <c r="D34" s="45">
        <v>2970000</v>
      </c>
      <c r="E34" s="53">
        <f t="shared" si="2"/>
        <v>2970000</v>
      </c>
      <c r="F34" s="45">
        <v>2970000</v>
      </c>
      <c r="G34" s="45"/>
      <c r="H34" s="45"/>
      <c r="I34" s="45"/>
      <c r="J34" s="76" t="s">
        <v>58</v>
      </c>
      <c r="K34" s="76">
        <v>3</v>
      </c>
      <c r="L34" s="101" t="e">
        <f t="shared" si="1"/>
        <v>#VALUE!</v>
      </c>
      <c r="M34" s="78"/>
      <c r="N34" s="10" t="s">
        <v>51</v>
      </c>
      <c r="O34" s="20"/>
      <c r="P34" s="1"/>
    </row>
    <row r="35" spans="1:16">
      <c r="A35" s="56" t="s">
        <v>47</v>
      </c>
      <c r="B35" s="51">
        <v>1</v>
      </c>
      <c r="C35" s="16" t="s">
        <v>73</v>
      </c>
      <c r="D35" s="46">
        <v>6700000</v>
      </c>
      <c r="E35" s="54">
        <f t="shared" si="2"/>
        <v>6700000</v>
      </c>
      <c r="F35" s="46">
        <v>6700000</v>
      </c>
      <c r="G35" s="46"/>
      <c r="H35" s="46"/>
      <c r="I35" s="46"/>
      <c r="J35" s="17">
        <v>5</v>
      </c>
      <c r="K35" s="17">
        <v>6</v>
      </c>
      <c r="L35" s="41">
        <f t="shared" si="1"/>
        <v>1.2</v>
      </c>
      <c r="M35" s="36" t="s">
        <v>53</v>
      </c>
      <c r="N35" s="11" t="s">
        <v>51</v>
      </c>
      <c r="O35" s="17"/>
      <c r="P35" s="1"/>
    </row>
    <row r="36" spans="1:16">
      <c r="A36" s="57"/>
      <c r="B36" s="5">
        <v>2</v>
      </c>
      <c r="C36" s="109" t="s">
        <v>91</v>
      </c>
      <c r="D36" s="84">
        <v>1140000</v>
      </c>
      <c r="E36" s="84">
        <f t="shared" si="2"/>
        <v>6924200000</v>
      </c>
      <c r="F36" s="48">
        <v>6910000000</v>
      </c>
      <c r="G36" s="48">
        <v>14200000</v>
      </c>
      <c r="H36" s="48"/>
      <c r="I36" s="48"/>
      <c r="J36" s="13">
        <v>15</v>
      </c>
      <c r="K36" s="13">
        <v>25</v>
      </c>
      <c r="L36" s="39">
        <f t="shared" si="1"/>
        <v>1.6666666666666667</v>
      </c>
      <c r="M36" s="34" t="s">
        <v>50</v>
      </c>
      <c r="N36" s="106" t="s">
        <v>52</v>
      </c>
      <c r="O36" s="18" t="s">
        <v>105</v>
      </c>
    </row>
    <row r="37" spans="1:16">
      <c r="A37" s="57"/>
      <c r="B37" s="5">
        <v>3</v>
      </c>
      <c r="C37" s="5" t="s">
        <v>25</v>
      </c>
      <c r="D37" s="31">
        <v>23500000</v>
      </c>
      <c r="E37" s="49">
        <f t="shared" si="2"/>
        <v>23500000</v>
      </c>
      <c r="F37" s="31">
        <v>23500000</v>
      </c>
      <c r="G37" s="31"/>
      <c r="H37" s="31"/>
      <c r="I37" s="31"/>
      <c r="J37" s="95" t="s">
        <v>58</v>
      </c>
      <c r="K37" s="95">
        <v>4</v>
      </c>
      <c r="L37" s="96" t="e">
        <f t="shared" si="1"/>
        <v>#VALUE!</v>
      </c>
      <c r="M37" s="97"/>
      <c r="N37" s="9" t="s">
        <v>51</v>
      </c>
      <c r="O37" s="18"/>
      <c r="P37" s="1"/>
    </row>
    <row r="38" spans="1:16">
      <c r="A38" s="57"/>
      <c r="B38" s="5">
        <v>4</v>
      </c>
      <c r="C38" s="109" t="s">
        <v>26</v>
      </c>
      <c r="D38" s="48">
        <v>102000</v>
      </c>
      <c r="E38" s="48">
        <f t="shared" si="2"/>
        <v>159900000</v>
      </c>
      <c r="F38" s="48">
        <v>33500000</v>
      </c>
      <c r="G38" s="48">
        <v>49500000</v>
      </c>
      <c r="H38" s="48">
        <v>76900000</v>
      </c>
      <c r="I38" s="48"/>
      <c r="J38" s="15">
        <v>8</v>
      </c>
      <c r="K38" s="15">
        <v>14</v>
      </c>
      <c r="L38" s="39">
        <f t="shared" si="1"/>
        <v>1.75</v>
      </c>
      <c r="M38" s="34" t="s">
        <v>50</v>
      </c>
      <c r="N38" s="106" t="s">
        <v>52</v>
      </c>
      <c r="O38" s="18" t="s">
        <v>105</v>
      </c>
    </row>
    <row r="39" spans="1:16">
      <c r="A39" s="57"/>
      <c r="B39" s="5">
        <v>5</v>
      </c>
      <c r="C39" s="5" t="s">
        <v>27</v>
      </c>
      <c r="D39" s="44">
        <v>276000000</v>
      </c>
      <c r="E39" s="48">
        <f t="shared" si="2"/>
        <v>276000000</v>
      </c>
      <c r="F39" s="31">
        <v>276000000</v>
      </c>
      <c r="G39" s="31"/>
      <c r="H39" s="31"/>
      <c r="I39" s="31"/>
      <c r="J39" s="13">
        <v>3</v>
      </c>
      <c r="K39" s="13">
        <v>4</v>
      </c>
      <c r="L39" s="39">
        <f t="shared" si="1"/>
        <v>1.3333333333333333</v>
      </c>
      <c r="M39" s="34" t="s">
        <v>50</v>
      </c>
      <c r="N39" s="9" t="s">
        <v>51</v>
      </c>
      <c r="O39" s="18"/>
      <c r="P39" s="1"/>
    </row>
    <row r="40" spans="1:16">
      <c r="A40" s="57"/>
      <c r="B40" s="5">
        <v>6</v>
      </c>
      <c r="C40" s="110" t="s">
        <v>28</v>
      </c>
      <c r="D40" s="44">
        <v>658000000</v>
      </c>
      <c r="E40" s="48">
        <f t="shared" si="2"/>
        <v>658000000</v>
      </c>
      <c r="F40" s="31">
        <v>658000000</v>
      </c>
      <c r="G40" s="31"/>
      <c r="H40" s="31"/>
      <c r="I40" s="31"/>
      <c r="J40" s="13">
        <v>7</v>
      </c>
      <c r="K40" s="13">
        <v>10</v>
      </c>
      <c r="L40" s="39">
        <f t="shared" si="1"/>
        <v>1.4285714285714286</v>
      </c>
      <c r="M40" s="34" t="s">
        <v>50</v>
      </c>
      <c r="N40" s="106" t="s">
        <v>52</v>
      </c>
      <c r="O40" s="18" t="s">
        <v>105</v>
      </c>
      <c r="P40" s="1"/>
    </row>
    <row r="41" spans="1:16" ht="12.75" customHeight="1">
      <c r="A41" s="57"/>
      <c r="B41" s="5">
        <v>7</v>
      </c>
      <c r="C41" s="110" t="s">
        <v>74</v>
      </c>
      <c r="D41" s="44">
        <v>426000000</v>
      </c>
      <c r="E41" s="48">
        <f t="shared" si="2"/>
        <v>426000000</v>
      </c>
      <c r="F41" s="31">
        <v>426000000</v>
      </c>
      <c r="G41" s="31"/>
      <c r="H41" s="31"/>
      <c r="I41" s="31"/>
      <c r="J41" s="85">
        <v>3</v>
      </c>
      <c r="K41" s="85">
        <v>10</v>
      </c>
      <c r="L41" s="86">
        <f t="shared" si="1"/>
        <v>3.3333333333333335</v>
      </c>
      <c r="M41" s="87" t="s">
        <v>50</v>
      </c>
      <c r="N41" s="106" t="s">
        <v>52</v>
      </c>
      <c r="O41" s="18" t="s">
        <v>105</v>
      </c>
    </row>
    <row r="42" spans="1:16">
      <c r="A42" s="57"/>
      <c r="B42" s="5">
        <v>8</v>
      </c>
      <c r="C42" s="5" t="s">
        <v>75</v>
      </c>
      <c r="D42" s="31">
        <v>21000000</v>
      </c>
      <c r="E42" s="49">
        <f t="shared" si="2"/>
        <v>21000000</v>
      </c>
      <c r="F42" s="31">
        <v>21000000</v>
      </c>
      <c r="G42" s="31"/>
      <c r="H42" s="31"/>
      <c r="I42" s="31"/>
      <c r="J42" s="18">
        <v>5</v>
      </c>
      <c r="K42" s="18">
        <v>6</v>
      </c>
      <c r="L42" s="40">
        <f t="shared" si="1"/>
        <v>1.2</v>
      </c>
      <c r="M42" s="33" t="s">
        <v>53</v>
      </c>
      <c r="N42" s="9" t="s">
        <v>51</v>
      </c>
      <c r="O42" s="18"/>
      <c r="P42" s="1"/>
    </row>
    <row r="43" spans="1:16" ht="25.9" thickBot="1">
      <c r="A43" s="58"/>
      <c r="B43" s="19">
        <v>9</v>
      </c>
      <c r="C43" s="113" t="s">
        <v>92</v>
      </c>
      <c r="D43" s="88">
        <v>120</v>
      </c>
      <c r="E43" s="74">
        <f t="shared" si="2"/>
        <v>114840000</v>
      </c>
      <c r="F43" s="49">
        <v>114840000</v>
      </c>
      <c r="G43" s="28"/>
      <c r="H43" s="28"/>
      <c r="I43" s="28"/>
      <c r="J43" s="20">
        <v>10</v>
      </c>
      <c r="K43" s="20">
        <v>11</v>
      </c>
      <c r="L43" s="42">
        <f t="shared" si="1"/>
        <v>1.1000000000000001</v>
      </c>
      <c r="M43" s="35" t="s">
        <v>53</v>
      </c>
      <c r="N43" s="108" t="s">
        <v>52</v>
      </c>
      <c r="O43" s="20" t="s">
        <v>107</v>
      </c>
      <c r="P43" s="1"/>
    </row>
    <row r="44" spans="1:16">
      <c r="A44" s="56" t="s">
        <v>6</v>
      </c>
      <c r="B44" s="51">
        <v>1</v>
      </c>
      <c r="C44" s="16" t="s">
        <v>76</v>
      </c>
      <c r="D44" s="30">
        <v>159000000</v>
      </c>
      <c r="E44" s="55">
        <f t="shared" si="2"/>
        <v>159000000</v>
      </c>
      <c r="F44" s="46">
        <v>159000000</v>
      </c>
      <c r="G44" s="46"/>
      <c r="H44" s="46"/>
      <c r="I44" s="46"/>
      <c r="J44" s="17">
        <v>13</v>
      </c>
      <c r="K44" s="17">
        <v>10</v>
      </c>
      <c r="L44" s="41">
        <f t="shared" si="1"/>
        <v>0.76923076923076927</v>
      </c>
      <c r="M44" s="36" t="s">
        <v>55</v>
      </c>
      <c r="N44" s="107" t="s">
        <v>52</v>
      </c>
      <c r="O44" s="17"/>
      <c r="P44" s="1"/>
    </row>
    <row r="45" spans="1:16" ht="25.5">
      <c r="A45" s="57"/>
      <c r="B45" s="5">
        <v>2</v>
      </c>
      <c r="C45" s="23" t="s">
        <v>77</v>
      </c>
      <c r="D45" s="49">
        <v>92200000</v>
      </c>
      <c r="E45" s="49">
        <f t="shared" si="2"/>
        <v>92200000</v>
      </c>
      <c r="F45" s="49">
        <v>92200000</v>
      </c>
      <c r="G45" s="49"/>
      <c r="H45" s="49"/>
      <c r="I45" s="49"/>
      <c r="J45" s="95" t="s">
        <v>58</v>
      </c>
      <c r="K45" s="95">
        <v>3</v>
      </c>
      <c r="L45" s="96" t="e">
        <f t="shared" si="1"/>
        <v>#VALUE!</v>
      </c>
      <c r="M45" s="97"/>
      <c r="N45" s="9" t="s">
        <v>51</v>
      </c>
      <c r="O45" s="18"/>
      <c r="P45" s="1"/>
    </row>
    <row r="46" spans="1:16">
      <c r="A46" s="57"/>
      <c r="B46" s="5">
        <v>3</v>
      </c>
      <c r="C46" s="5" t="s">
        <v>78</v>
      </c>
      <c r="D46" s="31">
        <v>64100000</v>
      </c>
      <c r="E46" s="49">
        <f t="shared" si="2"/>
        <v>64100000</v>
      </c>
      <c r="F46" s="31">
        <v>64100000</v>
      </c>
      <c r="G46" s="31"/>
      <c r="H46" s="31"/>
      <c r="I46" s="31"/>
      <c r="J46" s="18">
        <v>3</v>
      </c>
      <c r="K46" s="18">
        <v>3</v>
      </c>
      <c r="L46" s="40">
        <f t="shared" si="1"/>
        <v>1</v>
      </c>
      <c r="M46" s="33" t="s">
        <v>53</v>
      </c>
      <c r="N46" s="9" t="s">
        <v>51</v>
      </c>
      <c r="O46" s="18"/>
      <c r="P46" s="1"/>
    </row>
    <row r="47" spans="1:16">
      <c r="A47" s="57"/>
      <c r="B47" s="5">
        <v>4</v>
      </c>
      <c r="C47" s="110" t="s">
        <v>79</v>
      </c>
      <c r="D47" s="44">
        <v>143000</v>
      </c>
      <c r="E47" s="48">
        <f t="shared" si="2"/>
        <v>156700000</v>
      </c>
      <c r="F47" s="31">
        <v>110000000</v>
      </c>
      <c r="G47" s="31">
        <v>46700000</v>
      </c>
      <c r="H47" s="31"/>
      <c r="I47" s="31"/>
      <c r="J47" s="94">
        <v>3</v>
      </c>
      <c r="K47" s="94">
        <v>10</v>
      </c>
      <c r="L47" s="86">
        <f t="shared" si="1"/>
        <v>3.3333333333333335</v>
      </c>
      <c r="M47" s="87" t="s">
        <v>50</v>
      </c>
      <c r="N47" s="106" t="s">
        <v>52</v>
      </c>
      <c r="O47" s="24" t="s">
        <v>108</v>
      </c>
    </row>
    <row r="48" spans="1:16">
      <c r="A48" s="57"/>
      <c r="B48" s="5">
        <v>5</v>
      </c>
      <c r="C48" s="110" t="s">
        <v>29</v>
      </c>
      <c r="D48" s="44">
        <v>519000000</v>
      </c>
      <c r="E48" s="48">
        <f t="shared" si="2"/>
        <v>519000000</v>
      </c>
      <c r="F48" s="31">
        <v>519000000</v>
      </c>
      <c r="G48" s="31"/>
      <c r="H48" s="31"/>
      <c r="I48" s="31"/>
      <c r="J48" s="85">
        <v>3</v>
      </c>
      <c r="K48" s="85">
        <v>8</v>
      </c>
      <c r="L48" s="86">
        <f t="shared" si="1"/>
        <v>2.6666666666666665</v>
      </c>
      <c r="M48" s="87" t="s">
        <v>50</v>
      </c>
      <c r="N48" s="14" t="s">
        <v>52</v>
      </c>
      <c r="O48" s="18" t="s">
        <v>109</v>
      </c>
    </row>
    <row r="49" spans="1:16">
      <c r="A49" s="57"/>
      <c r="B49" s="5">
        <v>6</v>
      </c>
      <c r="C49" s="5" t="s">
        <v>80</v>
      </c>
      <c r="D49" s="31">
        <v>15600000</v>
      </c>
      <c r="E49" s="49">
        <f t="shared" si="2"/>
        <v>15600000</v>
      </c>
      <c r="F49" s="31">
        <v>15600000</v>
      </c>
      <c r="G49" s="31"/>
      <c r="H49" s="31"/>
      <c r="I49" s="31"/>
      <c r="J49" s="18">
        <v>6</v>
      </c>
      <c r="K49" s="18">
        <v>6</v>
      </c>
      <c r="L49" s="40">
        <f t="shared" si="1"/>
        <v>1</v>
      </c>
      <c r="M49" s="33" t="s">
        <v>53</v>
      </c>
      <c r="N49" s="9" t="s">
        <v>51</v>
      </c>
      <c r="O49" s="18"/>
      <c r="P49" s="1"/>
    </row>
    <row r="50" spans="1:16" ht="13.15" thickBot="1">
      <c r="A50" s="58"/>
      <c r="B50" s="19">
        <v>7</v>
      </c>
      <c r="C50" s="19" t="s">
        <v>30</v>
      </c>
      <c r="D50" s="73">
        <v>127000000</v>
      </c>
      <c r="E50" s="74">
        <f t="shared" si="2"/>
        <v>127000000</v>
      </c>
      <c r="F50" s="45">
        <v>127000000</v>
      </c>
      <c r="G50" s="45"/>
      <c r="H50" s="45"/>
      <c r="I50" s="45"/>
      <c r="J50" s="76" t="s">
        <v>58</v>
      </c>
      <c r="K50" s="76">
        <v>4</v>
      </c>
      <c r="L50" s="77" t="e">
        <f t="shared" si="1"/>
        <v>#VALUE!</v>
      </c>
      <c r="M50" s="78"/>
      <c r="N50" s="10" t="s">
        <v>51</v>
      </c>
      <c r="O50" s="20"/>
      <c r="P50" s="1"/>
    </row>
    <row r="51" spans="1:16">
      <c r="A51" s="56" t="s">
        <v>48</v>
      </c>
      <c r="B51" s="51">
        <v>1</v>
      </c>
      <c r="C51" s="16" t="s">
        <v>81</v>
      </c>
      <c r="D51" s="46">
        <v>14700000</v>
      </c>
      <c r="E51" s="54">
        <f t="shared" si="2"/>
        <v>14700000</v>
      </c>
      <c r="F51" s="46">
        <v>14700000</v>
      </c>
      <c r="G51" s="46"/>
      <c r="H51" s="46"/>
      <c r="I51" s="46"/>
      <c r="J51" s="26">
        <v>4</v>
      </c>
      <c r="K51" s="26">
        <v>6</v>
      </c>
      <c r="L51" s="43">
        <f t="shared" si="1"/>
        <v>1.5</v>
      </c>
      <c r="M51" s="32" t="s">
        <v>50</v>
      </c>
      <c r="N51" s="11" t="s">
        <v>51</v>
      </c>
      <c r="O51" s="17"/>
      <c r="P51" s="1"/>
    </row>
    <row r="52" spans="1:16">
      <c r="A52" s="57"/>
      <c r="B52" s="5">
        <v>2</v>
      </c>
      <c r="C52" s="109" t="s">
        <v>93</v>
      </c>
      <c r="D52" s="84">
        <v>30000000</v>
      </c>
      <c r="E52" s="84">
        <f t="shared" si="2"/>
        <v>1250540000</v>
      </c>
      <c r="F52" s="49">
        <v>1250000000</v>
      </c>
      <c r="G52" s="49">
        <v>540000</v>
      </c>
      <c r="H52" s="49"/>
      <c r="I52" s="49"/>
      <c r="J52" s="13">
        <v>7</v>
      </c>
      <c r="K52" s="13">
        <v>12</v>
      </c>
      <c r="L52" s="39">
        <f t="shared" si="1"/>
        <v>1.7142857142857142</v>
      </c>
      <c r="M52" s="34" t="s">
        <v>50</v>
      </c>
      <c r="N52" s="106" t="s">
        <v>52</v>
      </c>
      <c r="O52" s="18" t="s">
        <v>110</v>
      </c>
    </row>
    <row r="53" spans="1:16">
      <c r="A53" s="57"/>
      <c r="B53" s="5">
        <v>3</v>
      </c>
      <c r="C53" s="5" t="s">
        <v>31</v>
      </c>
      <c r="D53" s="44">
        <v>3930000</v>
      </c>
      <c r="E53" s="48">
        <f t="shared" si="2"/>
        <v>155580000</v>
      </c>
      <c r="F53" s="31">
        <v>148000000</v>
      </c>
      <c r="G53" s="31">
        <v>7580000</v>
      </c>
      <c r="H53" s="31"/>
      <c r="I53" s="31"/>
      <c r="J53" s="95" t="s">
        <v>58</v>
      </c>
      <c r="K53" s="95">
        <v>4</v>
      </c>
      <c r="L53" s="96" t="e">
        <f t="shared" si="1"/>
        <v>#VALUE!</v>
      </c>
      <c r="M53" s="97"/>
      <c r="N53" s="9" t="s">
        <v>51</v>
      </c>
      <c r="O53" s="18"/>
      <c r="P53" s="1"/>
    </row>
    <row r="54" spans="1:16">
      <c r="A54" s="57"/>
      <c r="B54" s="5">
        <v>4</v>
      </c>
      <c r="C54" s="5" t="s">
        <v>32</v>
      </c>
      <c r="D54" s="31">
        <v>11000000</v>
      </c>
      <c r="E54" s="49">
        <f t="shared" si="2"/>
        <v>11000000</v>
      </c>
      <c r="F54" s="31">
        <v>11000000</v>
      </c>
      <c r="G54" s="31"/>
      <c r="H54" s="31"/>
      <c r="I54" s="31"/>
      <c r="J54" s="102" t="s">
        <v>58</v>
      </c>
      <c r="K54" s="102">
        <v>4</v>
      </c>
      <c r="L54" s="96" t="e">
        <f t="shared" si="1"/>
        <v>#VALUE!</v>
      </c>
      <c r="M54" s="97"/>
      <c r="N54" s="9" t="s">
        <v>51</v>
      </c>
      <c r="O54" s="24"/>
      <c r="P54" s="1"/>
    </row>
    <row r="55" spans="1:16">
      <c r="A55" s="57"/>
      <c r="B55" s="5">
        <v>5</v>
      </c>
      <c r="C55" s="5" t="s">
        <v>33</v>
      </c>
      <c r="D55" s="31">
        <v>28800000</v>
      </c>
      <c r="E55" s="49">
        <f t="shared" si="2"/>
        <v>28800000</v>
      </c>
      <c r="F55" s="31">
        <v>28800000</v>
      </c>
      <c r="G55" s="31"/>
      <c r="H55" s="31"/>
      <c r="I55" s="31"/>
      <c r="J55" s="18">
        <v>4</v>
      </c>
      <c r="K55" s="18">
        <v>4</v>
      </c>
      <c r="L55" s="40">
        <f t="shared" si="1"/>
        <v>1</v>
      </c>
      <c r="M55" s="33" t="s">
        <v>53</v>
      </c>
      <c r="N55" s="9" t="s">
        <v>51</v>
      </c>
      <c r="O55" s="18"/>
    </row>
    <row r="56" spans="1:16" ht="25.5">
      <c r="A56" s="57"/>
      <c r="B56" s="5">
        <v>6</v>
      </c>
      <c r="C56" s="109" t="s">
        <v>41</v>
      </c>
      <c r="D56" s="48">
        <v>3590000</v>
      </c>
      <c r="E56" s="48">
        <f t="shared" si="2"/>
        <v>160400000</v>
      </c>
      <c r="F56" s="49">
        <v>59400000</v>
      </c>
      <c r="G56" s="49">
        <v>101000000</v>
      </c>
      <c r="H56" s="49"/>
      <c r="I56" s="49"/>
      <c r="J56" s="13">
        <v>7</v>
      </c>
      <c r="K56" s="13">
        <v>10</v>
      </c>
      <c r="L56" s="39">
        <f t="shared" si="1"/>
        <v>1.4285714285714286</v>
      </c>
      <c r="M56" s="34" t="s">
        <v>50</v>
      </c>
      <c r="N56" s="106" t="s">
        <v>52</v>
      </c>
      <c r="O56" s="18" t="s">
        <v>111</v>
      </c>
    </row>
    <row r="57" spans="1:16">
      <c r="A57" s="57"/>
      <c r="B57" s="5">
        <v>7</v>
      </c>
      <c r="C57" s="5" t="s">
        <v>82</v>
      </c>
      <c r="D57" s="31">
        <v>58500000</v>
      </c>
      <c r="E57" s="49">
        <f t="shared" si="2"/>
        <v>58500000</v>
      </c>
      <c r="F57" s="31">
        <v>58500000</v>
      </c>
      <c r="G57" s="31"/>
      <c r="H57" s="31"/>
      <c r="I57" s="31"/>
      <c r="J57" s="18">
        <v>3</v>
      </c>
      <c r="K57" s="18">
        <v>3</v>
      </c>
      <c r="L57" s="40">
        <f t="shared" si="1"/>
        <v>1</v>
      </c>
      <c r="M57" s="33" t="s">
        <v>53</v>
      </c>
      <c r="N57" s="9" t="s">
        <v>51</v>
      </c>
      <c r="O57" s="18"/>
    </row>
    <row r="58" spans="1:16">
      <c r="A58" s="57"/>
      <c r="B58" s="5">
        <v>8</v>
      </c>
      <c r="C58" s="5" t="s">
        <v>94</v>
      </c>
      <c r="D58" s="83">
        <v>2740000000</v>
      </c>
      <c r="E58" s="84">
        <f t="shared" si="2"/>
        <v>2740000000</v>
      </c>
      <c r="F58" s="31">
        <v>2740000000</v>
      </c>
      <c r="G58" s="31"/>
      <c r="H58" s="31"/>
      <c r="I58" s="31"/>
      <c r="J58" s="95" t="s">
        <v>58</v>
      </c>
      <c r="K58" s="95">
        <v>6</v>
      </c>
      <c r="L58" s="96" t="e">
        <f t="shared" si="1"/>
        <v>#VALUE!</v>
      </c>
      <c r="M58" s="97"/>
      <c r="N58" s="9" t="s">
        <v>51</v>
      </c>
      <c r="O58" s="18"/>
    </row>
    <row r="59" spans="1:16" ht="13.15" thickBot="1">
      <c r="A59" s="58"/>
      <c r="B59" s="19">
        <v>9</v>
      </c>
      <c r="C59" s="25" t="s">
        <v>34</v>
      </c>
      <c r="D59" s="89">
        <v>165000</v>
      </c>
      <c r="E59" s="72">
        <f t="shared" si="2"/>
        <v>1054830000</v>
      </c>
      <c r="F59" s="50">
        <v>4830000</v>
      </c>
      <c r="G59" s="50">
        <v>1050000000</v>
      </c>
      <c r="H59" s="50"/>
      <c r="I59" s="50"/>
      <c r="J59" s="20">
        <v>7</v>
      </c>
      <c r="K59" s="20">
        <v>6</v>
      </c>
      <c r="L59" s="42">
        <f t="shared" si="1"/>
        <v>0.8571428571428571</v>
      </c>
      <c r="M59" s="35" t="s">
        <v>55</v>
      </c>
      <c r="N59" s="10" t="s">
        <v>51</v>
      </c>
      <c r="O59" s="20"/>
    </row>
    <row r="60" spans="1:16" ht="27" customHeight="1">
      <c r="A60" s="62" t="s">
        <v>37</v>
      </c>
      <c r="B60" s="51">
        <v>1</v>
      </c>
      <c r="C60" s="111" t="s">
        <v>83</v>
      </c>
      <c r="D60" s="90">
        <v>2280000000</v>
      </c>
      <c r="E60" s="91">
        <f t="shared" si="2"/>
        <v>2280000000</v>
      </c>
      <c r="F60" s="46">
        <v>2280000000</v>
      </c>
      <c r="G60" s="46"/>
      <c r="H60" s="46"/>
      <c r="I60" s="46"/>
      <c r="J60" s="17">
        <v>5</v>
      </c>
      <c r="K60" s="17">
        <v>5</v>
      </c>
      <c r="L60" s="41">
        <f t="shared" si="1"/>
        <v>1</v>
      </c>
      <c r="M60" s="36" t="s">
        <v>53</v>
      </c>
      <c r="N60" s="11" t="s">
        <v>51</v>
      </c>
      <c r="O60" s="17"/>
    </row>
    <row r="61" spans="1:16">
      <c r="A61" s="63"/>
      <c r="B61" s="5">
        <v>2</v>
      </c>
      <c r="C61" s="5" t="s">
        <v>95</v>
      </c>
      <c r="D61" s="31">
        <v>7750000</v>
      </c>
      <c r="E61" s="49">
        <f t="shared" si="2"/>
        <v>36440000</v>
      </c>
      <c r="F61" s="31">
        <v>7540000</v>
      </c>
      <c r="G61" s="31">
        <v>28900000</v>
      </c>
      <c r="H61" s="31"/>
      <c r="I61" s="31"/>
      <c r="J61" s="18">
        <v>10</v>
      </c>
      <c r="K61" s="18">
        <v>11</v>
      </c>
      <c r="L61" s="40">
        <f t="shared" si="1"/>
        <v>1.1000000000000001</v>
      </c>
      <c r="M61" s="33" t="s">
        <v>53</v>
      </c>
      <c r="N61" s="106" t="s">
        <v>52</v>
      </c>
      <c r="O61" s="18"/>
    </row>
    <row r="62" spans="1:16">
      <c r="A62" s="63"/>
      <c r="B62" s="5">
        <v>3</v>
      </c>
      <c r="C62" s="5" t="s">
        <v>84</v>
      </c>
      <c r="D62" s="31">
        <v>96000000</v>
      </c>
      <c r="E62" s="49">
        <f t="shared" si="2"/>
        <v>96000000</v>
      </c>
      <c r="F62" s="31">
        <v>96000000</v>
      </c>
      <c r="G62" s="31"/>
      <c r="H62" s="31"/>
      <c r="I62" s="31"/>
      <c r="J62" s="18">
        <v>3</v>
      </c>
      <c r="K62" s="18">
        <v>3</v>
      </c>
      <c r="L62" s="40">
        <f t="shared" si="1"/>
        <v>1</v>
      </c>
      <c r="M62" s="33" t="s">
        <v>53</v>
      </c>
      <c r="N62" s="9" t="s">
        <v>51</v>
      </c>
      <c r="O62" s="18"/>
    </row>
    <row r="63" spans="1:16">
      <c r="A63" s="63"/>
      <c r="B63" s="5">
        <v>4</v>
      </c>
      <c r="C63" s="5" t="s">
        <v>35</v>
      </c>
      <c r="D63" s="31">
        <v>19700000</v>
      </c>
      <c r="E63" s="49">
        <f t="shared" si="2"/>
        <v>19700000</v>
      </c>
      <c r="F63" s="31">
        <v>19700000</v>
      </c>
      <c r="G63" s="31"/>
      <c r="H63" s="31"/>
      <c r="I63" s="31"/>
      <c r="J63" s="24">
        <v>7</v>
      </c>
      <c r="K63" s="24">
        <v>7</v>
      </c>
      <c r="L63" s="40">
        <f t="shared" si="1"/>
        <v>1</v>
      </c>
      <c r="M63" s="33" t="s">
        <v>53</v>
      </c>
      <c r="N63" s="9" t="s">
        <v>51</v>
      </c>
      <c r="O63" s="24"/>
    </row>
    <row r="64" spans="1:16">
      <c r="A64" s="63"/>
      <c r="B64" s="5">
        <v>5</v>
      </c>
      <c r="C64" s="23" t="s">
        <v>85</v>
      </c>
      <c r="D64" s="48">
        <v>9170000</v>
      </c>
      <c r="E64" s="48">
        <f t="shared" si="2"/>
        <v>120700000</v>
      </c>
      <c r="F64" s="49">
        <v>37600000</v>
      </c>
      <c r="G64" s="49">
        <v>83100000</v>
      </c>
      <c r="H64" s="49"/>
      <c r="I64" s="49"/>
      <c r="J64" s="95" t="s">
        <v>58</v>
      </c>
      <c r="K64" s="95">
        <v>6</v>
      </c>
      <c r="L64" s="96" t="e">
        <f t="shared" si="1"/>
        <v>#VALUE!</v>
      </c>
      <c r="M64" s="97"/>
      <c r="N64" s="9" t="s">
        <v>51</v>
      </c>
      <c r="O64" s="18"/>
    </row>
    <row r="65" spans="1:15">
      <c r="A65" s="63"/>
      <c r="B65" s="5">
        <v>6</v>
      </c>
      <c r="C65" s="23" t="s">
        <v>49</v>
      </c>
      <c r="D65" s="84">
        <v>727000</v>
      </c>
      <c r="E65" s="84">
        <f t="shared" si="2"/>
        <v>4459000000</v>
      </c>
      <c r="F65" s="49">
        <v>131000000</v>
      </c>
      <c r="G65" s="52">
        <v>778000000</v>
      </c>
      <c r="H65" s="66">
        <v>3410000000</v>
      </c>
      <c r="I65" s="67">
        <v>140000000</v>
      </c>
      <c r="J65" s="18">
        <v>6</v>
      </c>
      <c r="K65" s="18">
        <v>6</v>
      </c>
      <c r="L65" s="40">
        <f t="shared" si="1"/>
        <v>1</v>
      </c>
      <c r="M65" s="33" t="s">
        <v>53</v>
      </c>
      <c r="N65" s="9" t="s">
        <v>51</v>
      </c>
      <c r="O65" s="18"/>
    </row>
    <row r="66" spans="1:15">
      <c r="A66" s="63"/>
      <c r="B66" s="5">
        <v>7</v>
      </c>
      <c r="C66" s="5" t="s">
        <v>36</v>
      </c>
      <c r="D66" s="44">
        <v>187000000</v>
      </c>
      <c r="E66" s="48">
        <f t="shared" si="2"/>
        <v>187000000</v>
      </c>
      <c r="F66" s="31">
        <v>187000000</v>
      </c>
      <c r="G66" s="31"/>
      <c r="H66" s="31"/>
      <c r="I66" s="31"/>
      <c r="J66" s="95" t="s">
        <v>58</v>
      </c>
      <c r="K66" s="95">
        <v>7</v>
      </c>
      <c r="L66" s="96" t="e">
        <f t="shared" si="1"/>
        <v>#VALUE!</v>
      </c>
      <c r="M66" s="97"/>
      <c r="N66" s="9" t="s">
        <v>51</v>
      </c>
      <c r="O66" s="18"/>
    </row>
    <row r="67" spans="1:15" ht="13.15" thickBot="1">
      <c r="A67" s="64"/>
      <c r="B67" s="19">
        <v>8</v>
      </c>
      <c r="C67" s="19" t="s">
        <v>86</v>
      </c>
      <c r="D67" s="45">
        <v>17000000</v>
      </c>
      <c r="E67" s="53">
        <f t="shared" si="2"/>
        <v>17000000</v>
      </c>
      <c r="F67" s="45">
        <v>17000000</v>
      </c>
      <c r="G67" s="45"/>
      <c r="H67" s="45"/>
      <c r="I67" s="45"/>
      <c r="J67" s="76" t="s">
        <v>58</v>
      </c>
      <c r="K67" s="76">
        <v>5</v>
      </c>
      <c r="L67" s="77" t="e">
        <f t="shared" ref="L67:L68" si="3">K67/J67</f>
        <v>#VALUE!</v>
      </c>
      <c r="M67" s="78"/>
      <c r="N67" s="10" t="s">
        <v>51</v>
      </c>
      <c r="O67" s="20"/>
    </row>
    <row r="68" spans="1:15" ht="13.15" thickBot="1">
      <c r="A68" s="2" t="s">
        <v>87</v>
      </c>
      <c r="B68" s="19">
        <v>1</v>
      </c>
      <c r="C68" s="21" t="s">
        <v>42</v>
      </c>
      <c r="D68" s="79">
        <v>187000000</v>
      </c>
      <c r="E68" s="74">
        <f t="shared" si="2"/>
        <v>187000000</v>
      </c>
      <c r="F68" s="47">
        <v>187000000</v>
      </c>
      <c r="G68" s="47"/>
      <c r="H68" s="47"/>
      <c r="I68" s="47"/>
      <c r="J68" s="22">
        <v>6</v>
      </c>
      <c r="K68" s="22">
        <v>6</v>
      </c>
      <c r="L68" s="42">
        <f t="shared" si="3"/>
        <v>1</v>
      </c>
      <c r="M68" s="37" t="s">
        <v>53</v>
      </c>
      <c r="N68" s="12" t="s">
        <v>51</v>
      </c>
      <c r="O68" s="22"/>
    </row>
  </sheetData>
  <autoFilter ref="A1:O68"/>
  <mergeCells count="10">
    <mergeCell ref="A29:A34"/>
    <mergeCell ref="A35:A43"/>
    <mergeCell ref="A44:A50"/>
    <mergeCell ref="A51:A59"/>
    <mergeCell ref="A60:A67"/>
    <mergeCell ref="A25:A28"/>
    <mergeCell ref="A2:A11"/>
    <mergeCell ref="A12:A15"/>
    <mergeCell ref="A17:A22"/>
    <mergeCell ref="A23:A24"/>
  </mergeCells>
  <phoneticPr fontId="1"/>
  <dataValidations count="2">
    <dataValidation type="list" allowBlank="1" showInputMessage="1" showErrorMessage="1" sqref="N2:N68">
      <formula1>"高,低"</formula1>
    </dataValidation>
    <dataValidation type="list" allowBlank="1" showInputMessage="1" showErrorMessage="1" sqref="M2:M68">
      <formula1>"成長,安定,衰退"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株式会社ピーエスシー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佐藤 優孝</dc:creator>
  <cp:lastModifiedBy>PSC北添</cp:lastModifiedBy>
  <dcterms:created xsi:type="dcterms:W3CDTF">2018-11-19T02:38:26Z</dcterms:created>
  <dcterms:modified xsi:type="dcterms:W3CDTF">2018-11-20T02:49:53Z</dcterms:modified>
</cp:coreProperties>
</file>